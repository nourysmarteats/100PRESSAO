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Base Fixa" sheetId="2" state="visible" r:id="rId2"/>
    <sheet xmlns:r="http://schemas.openxmlformats.org/officeDocument/2006/relationships" name="Fichas Técnicas" sheetId="3" state="visible" r:id="rId3"/>
    <sheet xmlns:r="http://schemas.openxmlformats.org/officeDocument/2006/relationships" name="Food Cost e Margem" sheetId="4" state="visible" r:id="rId4"/>
    <sheet xmlns:r="http://schemas.openxmlformats.org/officeDocument/2006/relationships" name="Stock a Criar" sheetId="5" state="visible" r:id="rId5"/>
    <sheet xmlns:r="http://schemas.openxmlformats.org/officeDocument/2006/relationships" name="Embalagem por Canal" sheetId="6" state="visible" r:id="rId6"/>
    <sheet xmlns:r="http://schemas.openxmlformats.org/officeDocument/2006/relationships" name="Bloqueios" sheetId="7" state="visible" r:id="rId7"/>
    <sheet xmlns:r="http://schemas.openxmlformats.org/officeDocument/2006/relationships" name="Pratos em Falta na B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"/>
    <numFmt numFmtId="165" formatCode="#,##0.00 €"/>
    <numFmt numFmtId="166" formatCode="#,##0.0000 €"/>
    <numFmt numFmtId="167" formatCode="0.0%"/>
    <numFmt numFmtId="168" formatCode="0.0"/>
  </numFmts>
  <fonts count="14">
    <font>
      <name val="Calibri"/>
      <family val="2"/>
      <color theme="1"/>
      <sz val="11"/>
      <scheme val="minor"/>
    </font>
    <font>
      <name val="Arial"/>
      <b val="1"/>
      <color rgb="001F3864"/>
      <sz val="15"/>
    </font>
    <font>
      <name val="Arial"/>
      <i val="1"/>
      <color rgb="00595959"/>
      <sz val="8.5"/>
    </font>
    <font>
      <name val="Arial"/>
      <b val="1"/>
      <color rgb="00FFFFFF"/>
      <sz val="10"/>
    </font>
    <font>
      <name val="Arial"/>
      <b val="1"/>
      <color rgb="00000000"/>
      <sz val="9.5"/>
    </font>
    <font>
      <name val="Arial"/>
      <color rgb="00000000"/>
      <sz val="9.5"/>
    </font>
    <font>
      <name val="Arial"/>
      <b val="1"/>
      <color rgb="00FFFFFF"/>
      <sz val="14"/>
    </font>
    <font>
      <name val="Arial"/>
      <b val="1"/>
      <color rgb="00FFFFFF"/>
      <sz val="9"/>
    </font>
    <font>
      <name val="Arial"/>
      <color rgb="000000FF"/>
      <sz val="9.5"/>
    </font>
    <font>
      <name val="Arial"/>
      <b val="1"/>
      <color rgb="00000000"/>
      <sz val="10"/>
    </font>
    <font>
      <name val="Arial"/>
      <b val="1"/>
      <color rgb="000000FF"/>
      <sz val="8.5"/>
    </font>
    <font>
      <name val="Arial"/>
      <b val="1"/>
      <color rgb="00843C0C"/>
      <sz val="8.5"/>
    </font>
    <font>
      <name val="Arial"/>
      <b val="1"/>
      <color rgb="00FFFFFF"/>
      <sz val="13"/>
    </font>
    <font>
      <name val="Arial"/>
      <b val="1"/>
      <color rgb="00000000"/>
      <sz val="11"/>
    </font>
  </fonts>
  <fills count="11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3864"/>
      </patternFill>
    </fill>
    <fill>
      <patternFill patternType="solid">
        <fgColor rgb="0044546A"/>
      </patternFill>
    </fill>
    <fill>
      <patternFill patternType="solid">
        <fgColor rgb="00C6E0B4"/>
      </patternFill>
    </fill>
    <fill>
      <patternFill patternType="solid">
        <fgColor rgb="00FFE699"/>
      </patternFill>
    </fill>
    <fill>
      <patternFill patternType="solid">
        <fgColor rgb="00F8CBAD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3" borderId="0" pivotButton="0" quotePrefix="0" xfId="0"/>
    <xf numFmtId="0" fontId="0" fillId="3" borderId="0" pivotButton="0" quotePrefix="0" xfId="0"/>
    <xf numFmtId="0" fontId="7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164" fontId="8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6" fontId="4" fillId="0" borderId="1" pivotButton="0" quotePrefix="0" xfId="0"/>
    <xf numFmtId="0" fontId="5" fillId="0" borderId="1" applyAlignment="1" pivotButton="0" quotePrefix="0" xfId="0">
      <alignment vertical="top" wrapText="1"/>
    </xf>
    <xf numFmtId="0" fontId="9" fillId="0" borderId="0" pivotButton="0" quotePrefix="0" xfId="0"/>
    <xf numFmtId="166" fontId="9" fillId="5" borderId="1" pivotButton="0" quotePrefix="0" xfId="0"/>
    <xf numFmtId="0" fontId="4" fillId="6" borderId="1" applyAlignment="1" pivotButton="0" quotePrefix="0" xfId="0">
      <alignment vertical="top" wrapText="1"/>
    </xf>
    <xf numFmtId="166" fontId="9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7" borderId="1" applyAlignment="1" pivotButton="0" quotePrefix="0" xfId="0">
      <alignment vertical="top" wrapText="1"/>
    </xf>
    <xf numFmtId="166" fontId="9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5" fillId="7" borderId="1" applyAlignment="1" pivotButton="0" quotePrefix="0" xfId="0">
      <alignment vertical="top" wrapText="1"/>
    </xf>
    <xf numFmtId="166" fontId="9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5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166" fontId="9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5" fillId="5" borderId="1" applyAlignment="1" pivotButton="0" quotePrefix="0" xfId="0">
      <alignment vertical="top" wrapText="1"/>
    </xf>
    <xf numFmtId="0" fontId="7" fillId="4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10" fillId="0" borderId="1" applyAlignment="1" pivotButton="0" quotePrefix="0" xfId="0">
      <alignment horizontal="center" vertical="center"/>
    </xf>
    <xf numFmtId="166" fontId="5" fillId="0" borderId="1" pivotButton="0" quotePrefix="0" xfId="0"/>
    <xf numFmtId="0" fontId="0" fillId="8" borderId="1" pivotButton="0" quotePrefix="0" xfId="0"/>
    <xf numFmtId="0" fontId="4" fillId="8" borderId="1" pivotButton="0" quotePrefix="0" xfId="0"/>
    <xf numFmtId="166" fontId="4" fillId="5" borderId="1" pivotButton="0" quotePrefix="0" xfId="0"/>
    <xf numFmtId="0" fontId="2" fillId="8" borderId="1" applyAlignment="1" pivotButton="0" quotePrefix="0" xfId="0">
      <alignment vertical="top" wrapText="1"/>
    </xf>
    <xf numFmtId="0" fontId="11" fillId="0" borderId="1" applyAlignment="1" pivotButton="0" quotePrefix="0" xfId="0">
      <alignment horizontal="center" vertical="center"/>
    </xf>
    <xf numFmtId="0" fontId="5" fillId="7" borderId="1" pivotButton="0" quotePrefix="0" xfId="0"/>
    <xf numFmtId="0" fontId="12" fillId="3" borderId="0" pivotButton="0" quotePrefix="0" xfId="0"/>
    <xf numFmtId="165" fontId="4" fillId="0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7" fontId="4" fillId="5" borderId="1" applyAlignment="1" pivotButton="0" quotePrefix="0" xfId="0">
      <alignment horizontal="center" vertical="center"/>
    </xf>
    <xf numFmtId="167" fontId="5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167" fontId="5" fillId="8" borderId="1" applyAlignment="1" pivotButton="0" quotePrefix="0" xfId="0">
      <alignment horizontal="center" vertical="center"/>
    </xf>
    <xf numFmtId="167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167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165" fontId="8" fillId="0" borderId="1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0" fontId="4" fillId="9" borderId="1" applyAlignment="1" pivotButton="0" quotePrefix="0" xfId="0">
      <alignment vertical="top" wrapText="1"/>
    </xf>
    <xf numFmtId="0" fontId="5" fillId="9" borderId="1" applyAlignment="1" pivotButton="0" quotePrefix="0" xfId="0">
      <alignment horizontal="center" vertical="center"/>
    </xf>
    <xf numFmtId="168" fontId="5" fillId="9" borderId="1" applyAlignment="1" pivotButton="0" quotePrefix="0" xfId="0">
      <alignment horizontal="center" vertical="center"/>
    </xf>
    <xf numFmtId="165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vertical="top" wrapText="1"/>
    </xf>
    <xf numFmtId="0" fontId="13" fillId="0" borderId="0" pivotButton="0" quotePrefix="0" xfId="0"/>
    <xf numFmtId="165" fontId="9" fillId="5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5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4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32" customWidth="1" min="2" max="2"/>
    <col width="16" customWidth="1" min="3" max="3"/>
    <col width="92" customWidth="1" min="4" max="4"/>
  </cols>
  <sheetData>
    <row r="2">
      <c r="B2" s="1" t="inlineStr">
        <is>
          <t>FICHAS TÉCNICAS — 23 PRATOS SEM FICHA</t>
        </is>
      </c>
    </row>
    <row r="3">
      <c r="B3" s="2" t="inlineStr">
        <is>
          <t>Rita Falcão, Chef Executiva · 16/08/2026</t>
        </is>
      </c>
    </row>
    <row r="4">
      <c r="B4" s="2" t="inlineStr">
        <is>
          <t>Nomes de ingrediente validados contra os 136 itens de public.stock_items (BD de produção, 16/08/2026)</t>
        </is>
      </c>
    </row>
    <row r="6">
      <c r="B6" s="3" t="inlineStr">
        <is>
          <t>O QUE ESTÁ NESTE FICHEIRO</t>
        </is>
      </c>
      <c r="C6" s="4" t="n"/>
      <c r="D6" s="4" t="n"/>
    </row>
    <row r="7">
      <c r="B7" s="5" t="inlineStr">
        <is>
          <t>Base Fixa</t>
        </is>
      </c>
      <c r="D7" s="6" t="inlineStr">
        <is>
          <t>Definição fechada da base do Prato Feito, com gramagens por dose e o custo dos três perfis de acompanhamento.</t>
        </is>
      </c>
    </row>
    <row r="8">
      <c r="B8" s="5" t="inlineStr">
        <is>
          <t>Fichas Técnicas</t>
        </is>
      </c>
      <c r="D8" s="6" t="inlineStr">
        <is>
          <t>A tabela que pediste: uma linha por ingrediente, com o nome exacto do item de stock, quantidade por dose e unidade. 23 pratos.</t>
        </is>
      </c>
    </row>
    <row r="9">
      <c r="B9" s="5" t="inlineStr">
        <is>
          <t>Food Cost e Margem</t>
        </is>
      </c>
      <c r="D9" s="6" t="inlineStr">
        <is>
          <t>Custo, food cost e margem de cada prato, calculados contra a MINHA grelha (12,90/13,90 €) e não contra os 8,40 € da base de dados.</t>
        </is>
      </c>
    </row>
    <row r="10">
      <c r="B10" s="5" t="inlineStr">
        <is>
          <t>Stock a Criar</t>
        </is>
      </c>
      <c r="D10" s="6" t="inlineStr">
        <is>
          <t>18 ingredientes que não existem em stock. Não inventei nomes — estão à parte, com unidade e custo propostos.</t>
        </is>
      </c>
    </row>
    <row r="11">
      <c r="B11" s="5" t="inlineStr">
        <is>
          <t>Embalagem por Canal</t>
        </is>
      </c>
      <c r="D11" s="6" t="inlineStr">
        <is>
          <t>Separada da ficha base, como pediste. Só se gasta em entrega e take-away.</t>
        </is>
      </c>
    </row>
    <row r="12">
      <c r="B12" s="5" t="inlineStr">
        <is>
          <t>Bloqueios</t>
        </is>
      </c>
      <c r="D12" s="6" t="inlineStr">
        <is>
          <t>O que continua por resolver e não depende de mim.</t>
        </is>
      </c>
    </row>
    <row r="14">
      <c r="B14" s="3" t="inlineStr">
        <is>
          <t>REGRAS QUE SEGUI</t>
        </is>
      </c>
      <c r="C14" s="4" t="n"/>
      <c r="D14" s="4" t="n"/>
    </row>
    <row r="15">
      <c r="B15" s="5" t="inlineStr">
        <is>
          <t>Nomes exactos</t>
        </is>
      </c>
      <c r="D15" s="6" t="inlineStr">
        <is>
          <t>Cada ingrediente foi validado contra a tabela stock_items. Zero nomes inventados — verificado programaticamente.</t>
        </is>
      </c>
    </row>
    <row r="16">
      <c r="B16" s="5" t="inlineStr">
        <is>
          <t>Quantidades por dose</t>
        </is>
      </c>
      <c r="D16" s="6" t="inlineStr">
        <is>
          <t>Sempre na unidade do item de stock. Se o item é em kg, está 0,180 e não "180 g".</t>
        </is>
      </c>
    </row>
    <row r="17">
      <c r="B17" s="5" t="inlineStr">
        <is>
          <t>Pesos secos</t>
        </is>
      </c>
      <c r="D17" s="6" t="inlineStr">
        <is>
          <t>Arroz e feijão estão em PESO SECO, que é como se compram. 0,050 kg de arroz rende ~150 g cozido; 0,048 kg de feijão rende ~120 g cozido. Se puseres o peso cozido, o stock desconta o triplo.</t>
        </is>
      </c>
    </row>
    <row r="18">
      <c r="B18" s="5" t="inlineStr">
        <is>
          <t>Base adaptada</t>
        </is>
      </c>
      <c r="D18" s="6" t="inlineStr">
        <is>
          <t>Por decisão tua, a base varia com o prato. Três perfis: completa, só salada, e feijoada.</t>
        </is>
      </c>
    </row>
    <row r="19">
      <c r="B19" s="5" t="inlineStr">
        <is>
          <t>Embalagem fora</t>
        </is>
      </c>
      <c r="D19" s="6" t="inlineStr">
        <is>
          <t>Menu box, saco, talheres e selo não entram na ficha base. Estão numa folha própria, por canal.</t>
        </is>
      </c>
    </row>
    <row r="21">
      <c r="B21" s="3" t="inlineStr">
        <is>
          <t>AVISO IMPORTANTE SOBRE ESTES NÚMEROS</t>
        </is>
      </c>
      <c r="C21" s="4" t="n"/>
      <c r="D21" s="4" t="n"/>
    </row>
    <row r="22">
      <c r="B22" s="5" t="inlineStr">
        <is>
          <t>São custo de ingrediente</t>
        </is>
      </c>
      <c r="D22" s="6" t="inlineStr">
        <is>
          <t>Não incluem mão-de-obra, energia, nem perdas. Um food cost de 20% no papel torna-se 27-30% real depois de aparas, quebras e desperdício. É normal e é a razão de o alvo teórico ser 30%.</t>
        </is>
      </c>
    </row>
    <row r="23">
      <c r="B23" s="5" t="inlineStr">
        <is>
          <t>Três unidades problemáticas</t>
        </is>
      </c>
      <c r="D23" s="6" t="inlineStr">
        <is>
          <t>"Manteiga (porção)", "Azeite virgem extra (unidade)" e "Especiarias base (pacote)" não têm gramagem definida. Usei-as como estão, mas os custos que dependem delas são aproximados. Recomendo converter as três para kg ou litro.</t>
        </is>
      </c>
    </row>
    <row r="24">
      <c r="B24" s="5" t="inlineStr">
        <is>
          <t>Provisórios</t>
        </is>
      </c>
      <c r="D24" s="6" t="inlineStr">
        <is>
          <t>Os pratos marcados [provisório] dependem de itens que ainda não existem em stock. Os preços que usei são estimativas minhas de cash &amp; carry — validar na Makro.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 outlineLevelCol="0"/>
  <cols>
    <col width="56" customWidth="1" min="1" max="1"/>
    <col width="12" customWidth="1" min="2" max="2"/>
    <col width="12" customWidth="1" min="3" max="3"/>
    <col width="10" customWidth="1" min="4" max="4"/>
    <col width="12" customWidth="1" min="5" max="5"/>
    <col width="70" customWidth="1" min="6" max="6"/>
  </cols>
  <sheetData>
    <row r="1">
      <c r="A1" s="7" t="inlineStr">
        <is>
          <t>BASE FIXA DO PRATO FEITO — DEFINIÇÃO FECHADA</t>
        </is>
      </c>
      <c r="B1" s="8" t="n"/>
      <c r="C1" s="8" t="n"/>
      <c r="D1" s="8" t="n"/>
      <c r="E1" s="8" t="n"/>
      <c r="F1" s="8" t="n"/>
    </row>
    <row r="2">
      <c r="A2" s="2" t="inlineStr">
        <is>
          <t>Era o bloqueio que impedia o custeio de 15 pratos. Fica fixado aqui. Quantidades por dose, na unidade do item de stock.</t>
        </is>
      </c>
    </row>
    <row r="4">
      <c r="A4" s="3" t="inlineStr">
        <is>
          <t>PERFIL 1 — BASE COMPLETA (arroz + feijão + farofa + salada)</t>
        </is>
      </c>
      <c r="B4" s="4" t="n"/>
      <c r="C4" s="4" t="n"/>
      <c r="D4" s="4" t="n"/>
      <c r="E4" s="4" t="n"/>
      <c r="F4" s="4" t="n"/>
    </row>
    <row r="5">
      <c r="A5" s="9" t="inlineStr">
        <is>
          <t>Ingrediente (nome exacto do stock)</t>
        </is>
      </c>
      <c r="B5" s="9" t="inlineStr">
        <is>
          <t>Quantidade</t>
        </is>
      </c>
      <c r="C5" s="9" t="inlineStr">
        <is>
          <t>Unidade</t>
        </is>
      </c>
      <c r="D5" s="9" t="inlineStr">
        <is>
          <t>Custo un.</t>
        </is>
      </c>
      <c r="E5" s="9" t="inlineStr">
        <is>
          <t>Custo linha</t>
        </is>
      </c>
      <c r="F5" s="9" t="inlineStr">
        <is>
          <t>Nota</t>
        </is>
      </c>
    </row>
    <row r="6">
      <c r="A6" s="10" t="inlineStr">
        <is>
          <t>Arroz agulha</t>
        </is>
      </c>
      <c r="B6" s="11" t="n">
        <v>0.05</v>
      </c>
      <c r="C6" s="12" t="inlineStr">
        <is>
          <t>kg</t>
        </is>
      </c>
      <c r="D6" s="13" t="n">
        <v>1.1</v>
      </c>
      <c r="E6" s="14">
        <f>B6*D6</f>
        <v>0.055</v>
      </c>
      <c r="F6" s="15" t="inlineStr">
        <is>
          <t>Peso SECO. Rende ~150 g de arroz cozido por dose.</t>
        </is>
      </c>
    </row>
    <row r="7">
      <c r="A7" s="10" t="inlineStr">
        <is>
          <t>Feijão preto</t>
        </is>
      </c>
      <c r="B7" s="11" t="n">
        <v>0.048</v>
      </c>
      <c r="C7" s="12" t="inlineStr">
        <is>
          <t>kg</t>
        </is>
      </c>
      <c r="D7" s="13" t="n">
        <v>1.8</v>
      </c>
      <c r="E7" s="14">
        <f>B7*D7</f>
        <v>0.0864</v>
      </c>
      <c r="F7" s="15" t="inlineStr">
        <is>
          <t>Peso SECO. Rende ~120 g de feijão cozido por dose.</t>
        </is>
      </c>
    </row>
    <row r="8">
      <c r="A8" s="10" t="inlineStr">
        <is>
          <t>Farinha de mandioca (farofa)</t>
        </is>
      </c>
      <c r="B8" s="11" t="n">
        <v>0.022</v>
      </c>
      <c r="C8" s="12" t="inlineStr">
        <is>
          <t>kg</t>
        </is>
      </c>
      <c r="D8" s="13" t="n">
        <v>2.5</v>
      </c>
      <c r="E8" s="14">
        <f>B8*D8</f>
        <v>0.055</v>
      </c>
      <c r="F8" s="15" t="inlineStr">
        <is>
          <t>Rende ~30 g de farofa pronta.</t>
        </is>
      </c>
    </row>
    <row r="9">
      <c r="A9" s="10" t="inlineStr">
        <is>
          <t>Manteiga</t>
        </is>
      </c>
      <c r="B9" s="11" t="n">
        <v>0.17</v>
      </c>
      <c r="C9" s="12" t="inlineStr">
        <is>
          <t>porção</t>
        </is>
      </c>
      <c r="D9" s="13" t="n">
        <v>0.12</v>
      </c>
      <c r="E9" s="14">
        <f>B9*D9</f>
        <v>0.0204</v>
      </c>
      <c r="F9" s="15" t="inlineStr">
        <is>
          <t>Componente da farofa. ATENÇÃO: unidade "porção" sem gramagem definida em stock.</t>
        </is>
      </c>
    </row>
    <row r="10">
      <c r="A10" s="10" t="inlineStr">
        <is>
          <t>Alface / mistura de salada</t>
        </is>
      </c>
      <c r="B10" s="11" t="n">
        <v>0.04</v>
      </c>
      <c r="C10" s="12" t="inlineStr">
        <is>
          <t>kg</t>
        </is>
      </c>
      <c r="D10" s="13" t="n">
        <v>3.5</v>
      </c>
      <c r="E10" s="14">
        <f>B10*D10</f>
        <v>0.14</v>
      </c>
      <c r="F10" s="15" t="inlineStr">
        <is>
          <t>Salada de acompanhamento.</t>
        </is>
      </c>
    </row>
    <row r="11">
      <c r="A11" s="10" t="inlineStr">
        <is>
          <t>Tomate fresco</t>
        </is>
      </c>
      <c r="B11" s="11" t="n">
        <v>0.015</v>
      </c>
      <c r="C11" s="12" t="inlineStr">
        <is>
          <t>kg</t>
        </is>
      </c>
      <c r="D11" s="13" t="n">
        <v>2.2</v>
      </c>
      <c r="E11" s="14">
        <f>B11*D11</f>
        <v>0.033</v>
      </c>
      <c r="F11" s="15" t="inlineStr">
        <is>
          <t>Salada de acompanhamento.</t>
        </is>
      </c>
    </row>
    <row r="12">
      <c r="A12" s="10" t="inlineStr">
        <is>
          <t>Cebola</t>
        </is>
      </c>
      <c r="B12" s="11" t="n">
        <v>0.1</v>
      </c>
      <c r="C12" s="12" t="inlineStr">
        <is>
          <t>unidade</t>
        </is>
      </c>
      <c r="D12" s="13" t="n">
        <v>0.18</v>
      </c>
      <c r="E12" s="14">
        <f>B12*D12</f>
        <v>0.018</v>
      </c>
      <c r="F12" s="15" t="inlineStr">
        <is>
          <t>Refogado do arroz e da farofa.</t>
        </is>
      </c>
    </row>
    <row r="13">
      <c r="A13" s="10" t="inlineStr">
        <is>
          <t>Alho fresco</t>
        </is>
      </c>
      <c r="B13" s="11" t="n">
        <v>0.002</v>
      </c>
      <c r="C13" s="12" t="inlineStr">
        <is>
          <t>kg</t>
        </is>
      </c>
      <c r="D13" s="13" t="n">
        <v>3.5</v>
      </c>
      <c r="E13" s="14">
        <f>B13*D13</f>
        <v>0.007</v>
      </c>
      <c r="F13" s="15" t="inlineStr">
        <is>
          <t>Refogado do arroz e da farofa.</t>
        </is>
      </c>
    </row>
    <row r="14">
      <c r="A14" s="10" t="inlineStr">
        <is>
          <t>Azeite virgem extra</t>
        </is>
      </c>
      <c r="B14" s="11" t="n">
        <v>0.02</v>
      </c>
      <c r="C14" s="12" t="inlineStr">
        <is>
          <t>unidade</t>
        </is>
      </c>
      <c r="D14" s="13" t="n">
        <v>5</v>
      </c>
      <c r="E14" s="14">
        <f>B14*D14</f>
        <v>0.1</v>
      </c>
      <c r="F14" s="15" t="inlineStr">
        <is>
          <t>Refogados e tempero da salada. ATENÇÃO: unidade "unidade" a 5,00 € — confirmar se é garrafa de 1 L.</t>
        </is>
      </c>
    </row>
    <row r="15">
      <c r="A15" s="10" t="inlineStr">
        <is>
          <t>Especiarias base (louro, alho em pó, pimenta preta, sal)</t>
        </is>
      </c>
      <c r="B15" s="11" t="n">
        <v>0.001</v>
      </c>
      <c r="C15" s="12" t="inlineStr">
        <is>
          <t>pacote</t>
        </is>
      </c>
      <c r="D15" s="13" t="n">
        <v>18</v>
      </c>
      <c r="E15" s="14">
        <f>B15*D15</f>
        <v>0.018</v>
      </c>
      <c r="F15" s="15" t="inlineStr">
        <is>
          <t>Rateio por dose.</t>
        </is>
      </c>
    </row>
    <row r="16">
      <c r="A16" s="16" t="inlineStr">
        <is>
          <t>CUSTO DO PERFIL POR DOSE</t>
        </is>
      </c>
      <c r="E16" s="17">
        <f>SUM(E6:E15)</f>
        <v>0.5328</v>
      </c>
    </row>
    <row r="18">
      <c r="A18" s="3" t="inlineStr">
        <is>
          <t>PERFIL 2 — SÓ SALADA (pratos já completos)</t>
        </is>
      </c>
      <c r="B18" s="4" t="n"/>
      <c r="C18" s="4" t="n"/>
      <c r="D18" s="4" t="n"/>
      <c r="E18" s="4" t="n"/>
      <c r="F18" s="4" t="n"/>
    </row>
    <row r="19">
      <c r="A19" s="9" t="inlineStr">
        <is>
          <t>Ingrediente (nome exacto do stock)</t>
        </is>
      </c>
      <c r="B19" s="9" t="inlineStr">
        <is>
          <t>Quantidade</t>
        </is>
      </c>
      <c r="C19" s="9" t="inlineStr">
        <is>
          <t>Unidade</t>
        </is>
      </c>
      <c r="D19" s="9" t="inlineStr">
        <is>
          <t>Custo un.</t>
        </is>
      </c>
      <c r="E19" s="9" t="inlineStr">
        <is>
          <t>Custo linha</t>
        </is>
      </c>
      <c r="F19" s="9" t="inlineStr">
        <is>
          <t>Nota</t>
        </is>
      </c>
    </row>
    <row r="20">
      <c r="A20" s="10" t="inlineStr">
        <is>
          <t>Alface / mistura de salada</t>
        </is>
      </c>
      <c r="B20" s="11" t="n">
        <v>0.04</v>
      </c>
      <c r="C20" s="12" t="inlineStr">
        <is>
          <t>kg</t>
        </is>
      </c>
      <c r="D20" s="13" t="n">
        <v>3.5</v>
      </c>
      <c r="E20" s="14">
        <f>B20*D20</f>
        <v>0.14</v>
      </c>
      <c r="F20" s="15" t="inlineStr">
        <is>
          <t>Prato já completo — leva apenas salada.</t>
        </is>
      </c>
    </row>
    <row r="21">
      <c r="A21" s="10" t="inlineStr">
        <is>
          <t>Tomate fresco</t>
        </is>
      </c>
      <c r="B21" s="11" t="n">
        <v>0.015</v>
      </c>
      <c r="C21" s="12" t="inlineStr">
        <is>
          <t>kg</t>
        </is>
      </c>
      <c r="D21" s="13" t="n">
        <v>2.2</v>
      </c>
      <c r="E21" s="14">
        <f>B21*D21</f>
        <v>0.033</v>
      </c>
      <c r="F21" s="15" t="inlineStr"/>
    </row>
    <row r="22">
      <c r="A22" s="10" t="inlineStr">
        <is>
          <t>Azeite virgem extra</t>
        </is>
      </c>
      <c r="B22" s="11" t="n">
        <v>0.008</v>
      </c>
      <c r="C22" s="12" t="inlineStr">
        <is>
          <t>unidade</t>
        </is>
      </c>
      <c r="D22" s="13" t="n">
        <v>5</v>
      </c>
      <c r="E22" s="14">
        <f>B22*D22</f>
        <v>0.04</v>
      </c>
      <c r="F22" s="15" t="inlineStr">
        <is>
          <t>Tempero da salada.</t>
        </is>
      </c>
    </row>
    <row r="23">
      <c r="A23" s="10" t="inlineStr">
        <is>
          <t>Especiarias base (louro, alho em pó, pimenta preta, sal)</t>
        </is>
      </c>
      <c r="B23" s="11" t="n">
        <v>0.0005</v>
      </c>
      <c r="C23" s="12" t="inlineStr">
        <is>
          <t>pacote</t>
        </is>
      </c>
      <c r="D23" s="13" t="n">
        <v>18</v>
      </c>
      <c r="E23" s="14">
        <f>B23*D23</f>
        <v>0.009</v>
      </c>
      <c r="F23" s="15" t="inlineStr">
        <is>
          <t>Rateio por dose.</t>
        </is>
      </c>
    </row>
    <row r="24">
      <c r="A24" s="16" t="inlineStr">
        <is>
          <t>CUSTO DO PERFIL POR DOSE</t>
        </is>
      </c>
      <c r="E24" s="17">
        <f>SUM(E20:E23)</f>
        <v>0.222</v>
      </c>
    </row>
    <row r="26">
      <c r="A26" s="3" t="inlineStr">
        <is>
          <t>PERFIL 3 — FEIJOADA (arroz + farofa + couve + laranja)</t>
        </is>
      </c>
      <c r="B26" s="4" t="n"/>
      <c r="C26" s="4" t="n"/>
      <c r="D26" s="4" t="n"/>
      <c r="E26" s="4" t="n"/>
      <c r="F26" s="4" t="n"/>
    </row>
    <row r="27">
      <c r="A27" s="9" t="inlineStr">
        <is>
          <t>Ingrediente (nome exacto do stock)</t>
        </is>
      </c>
      <c r="B27" s="9" t="inlineStr">
        <is>
          <t>Quantidade</t>
        </is>
      </c>
      <c r="C27" s="9" t="inlineStr">
        <is>
          <t>Unidade</t>
        </is>
      </c>
      <c r="D27" s="9" t="inlineStr">
        <is>
          <t>Custo un.</t>
        </is>
      </c>
      <c r="E27" s="9" t="inlineStr">
        <is>
          <t>Custo linha</t>
        </is>
      </c>
      <c r="F27" s="9" t="inlineStr">
        <is>
          <t>Nota</t>
        </is>
      </c>
    </row>
    <row r="28">
      <c r="A28" s="10" t="inlineStr">
        <is>
          <t>Arroz agulha</t>
        </is>
      </c>
      <c r="B28" s="11" t="n">
        <v>0.05</v>
      </c>
      <c r="C28" s="12" t="inlineStr">
        <is>
          <t>kg</t>
        </is>
      </c>
      <c r="D28" s="13" t="n">
        <v>1.1</v>
      </c>
      <c r="E28" s="14">
        <f>B28*D28</f>
        <v>0.055</v>
      </c>
      <c r="F28" s="15" t="inlineStr">
        <is>
          <t>Peso SECO.</t>
        </is>
      </c>
    </row>
    <row r="29">
      <c r="A29" s="10" t="inlineStr">
        <is>
          <t>Farinha de mandioca (farofa)</t>
        </is>
      </c>
      <c r="B29" s="11" t="n">
        <v>0.022</v>
      </c>
      <c r="C29" s="12" t="inlineStr">
        <is>
          <t>kg</t>
        </is>
      </c>
      <c r="D29" s="13" t="n">
        <v>2.5</v>
      </c>
      <c r="E29" s="14">
        <f>B29*D29</f>
        <v>0.055</v>
      </c>
      <c r="F29" s="15" t="inlineStr">
        <is>
          <t>Rende ~30 g de farofa.</t>
        </is>
      </c>
    </row>
    <row r="30">
      <c r="A30" s="10" t="inlineStr">
        <is>
          <t>Manteiga</t>
        </is>
      </c>
      <c r="B30" s="11" t="n">
        <v>0.17</v>
      </c>
      <c r="C30" s="12" t="inlineStr">
        <is>
          <t>porção</t>
        </is>
      </c>
      <c r="D30" s="13" t="n">
        <v>0.12</v>
      </c>
      <c r="E30" s="14">
        <f>B30*D30</f>
        <v>0.0204</v>
      </c>
      <c r="F30" s="15" t="inlineStr">
        <is>
          <t>Componente da farofa.</t>
        </is>
      </c>
    </row>
    <row r="31">
      <c r="A31" s="18" t="inlineStr">
        <is>
          <t>Couve portuguesa</t>
        </is>
      </c>
      <c r="B31" s="11" t="n">
        <v>0.06</v>
      </c>
      <c r="C31" s="12" t="inlineStr">
        <is>
          <t>kg</t>
        </is>
      </c>
      <c r="D31" s="13" t="n">
        <v>1.8</v>
      </c>
      <c r="E31" s="14">
        <f>B31*D31</f>
        <v>0.108</v>
      </c>
      <c r="F31" s="15" t="inlineStr">
        <is>
          <t>ITEM A CRIAR. Acompanhamento obrigatório da feijoada.</t>
        </is>
      </c>
    </row>
    <row r="32">
      <c r="A32" s="10" t="inlineStr">
        <is>
          <t>Laranja</t>
        </is>
      </c>
      <c r="B32" s="11" t="n">
        <v>0.25</v>
      </c>
      <c r="C32" s="12" t="inlineStr">
        <is>
          <t>unidade</t>
        </is>
      </c>
      <c r="D32" s="13" t="n">
        <v>0.35</v>
      </c>
      <c r="E32" s="14">
        <f>B32*D32</f>
        <v>0.0875</v>
      </c>
      <c r="F32" s="15" t="inlineStr">
        <is>
          <t>Um quarto de laranja em gomos.</t>
        </is>
      </c>
    </row>
    <row r="33">
      <c r="A33" s="10" t="inlineStr">
        <is>
          <t>Cebola</t>
        </is>
      </c>
      <c r="B33" s="11" t="n">
        <v>0.05</v>
      </c>
      <c r="C33" s="12" t="inlineStr">
        <is>
          <t>unidade</t>
        </is>
      </c>
      <c r="D33" s="13" t="n">
        <v>0.18</v>
      </c>
      <c r="E33" s="14">
        <f>B33*D33</f>
        <v>0.009</v>
      </c>
      <c r="F33" s="15" t="inlineStr"/>
    </row>
    <row r="34">
      <c r="A34" s="10" t="inlineStr">
        <is>
          <t>Alho fresco</t>
        </is>
      </c>
      <c r="B34" s="11" t="n">
        <v>0.001</v>
      </c>
      <c r="C34" s="12" t="inlineStr">
        <is>
          <t>kg</t>
        </is>
      </c>
      <c r="D34" s="13" t="n">
        <v>3.5</v>
      </c>
      <c r="E34" s="14">
        <f>B34*D34</f>
        <v>0.0035</v>
      </c>
      <c r="F34" s="15" t="inlineStr"/>
    </row>
    <row r="35">
      <c r="A35" s="10" t="inlineStr">
        <is>
          <t>Azeite virgem extra</t>
        </is>
      </c>
      <c r="B35" s="11" t="n">
        <v>0.008</v>
      </c>
      <c r="C35" s="12" t="inlineStr">
        <is>
          <t>unidade</t>
        </is>
      </c>
      <c r="D35" s="13" t="n">
        <v>5</v>
      </c>
      <c r="E35" s="14">
        <f>B35*D35</f>
        <v>0.04</v>
      </c>
      <c r="F35" s="15" t="inlineStr"/>
    </row>
    <row r="36">
      <c r="A36" s="10" t="inlineStr">
        <is>
          <t>Especiarias base (louro, alho em pó, pimenta preta, sal)</t>
        </is>
      </c>
      <c r="B36" s="11" t="n">
        <v>0.001</v>
      </c>
      <c r="C36" s="12" t="inlineStr">
        <is>
          <t>pacote</t>
        </is>
      </c>
      <c r="D36" s="13" t="n">
        <v>18</v>
      </c>
      <c r="E36" s="14">
        <f>B36*D36</f>
        <v>0.018</v>
      </c>
      <c r="F36" s="15" t="inlineStr"/>
    </row>
    <row r="37">
      <c r="A37" s="16" t="inlineStr">
        <is>
          <t>CUSTO DO PERFIL POR DOSE</t>
        </is>
      </c>
      <c r="E37" s="17">
        <f>SUM(E28:E36)</f>
        <v>0.3964</v>
      </c>
    </row>
    <row r="39">
      <c r="A39" s="3" t="inlineStr">
        <is>
          <t>SUBSTITUIÇÃO SEM CUSTO — BATATAS FRITAS</t>
        </is>
      </c>
      <c r="B39" s="4" t="n"/>
      <c r="C39" s="4" t="n"/>
      <c r="D39" s="4" t="n"/>
      <c r="E39" s="4" t="n"/>
      <c r="F39" s="4" t="n"/>
    </row>
    <row r="40">
      <c r="A40" s="9" t="inlineStr">
        <is>
          <t>Ingrediente (nome exacto do stock)</t>
        </is>
      </c>
      <c r="B40" s="9" t="inlineStr">
        <is>
          <t>Quantidade</t>
        </is>
      </c>
      <c r="C40" s="9" t="inlineStr">
        <is>
          <t>Unidade</t>
        </is>
      </c>
      <c r="D40" s="9" t="inlineStr">
        <is>
          <t>Custo un.</t>
        </is>
      </c>
      <c r="E40" s="9" t="inlineStr">
        <is>
          <t>Custo linha</t>
        </is>
      </c>
      <c r="F40" s="9" t="inlineStr">
        <is>
          <t>Nota</t>
        </is>
      </c>
    </row>
    <row r="41">
      <c r="A41" s="10" t="inlineStr">
        <is>
          <t>Batata</t>
        </is>
      </c>
      <c r="B41" s="11" t="n">
        <v>0.2</v>
      </c>
      <c r="C41" s="12" t="inlineStr">
        <is>
          <t>kg</t>
        </is>
      </c>
      <c r="D41" s="13" t="n">
        <v>0.9</v>
      </c>
      <c r="E41" s="14">
        <f>B41*D41</f>
        <v>0.18</v>
      </c>
      <c r="F41" s="15" t="inlineStr">
        <is>
          <t>Substituição sem custo: batatas fritas em vez de arroz e feijão.</t>
        </is>
      </c>
    </row>
    <row r="42">
      <c r="A42" s="10" t="inlineStr">
        <is>
          <t>Óleo de fritura (girassol)</t>
        </is>
      </c>
      <c r="B42" s="11" t="n">
        <v>0.01</v>
      </c>
      <c r="C42" s="12" t="inlineStr">
        <is>
          <t>litro</t>
        </is>
      </c>
      <c r="D42" s="13" t="n">
        <v>1.6</v>
      </c>
      <c r="E42" s="14">
        <f>B42*D42</f>
        <v>0.016</v>
      </c>
      <c r="F42" s="15" t="inlineStr">
        <is>
          <t>Absorção estimada na fritura.</t>
        </is>
      </c>
    </row>
    <row r="43">
      <c r="A43" s="16" t="inlineStr">
        <is>
          <t>CUSTO DAS BATATAS FRITAS</t>
        </is>
      </c>
      <c r="E43" s="17">
        <f>SUM(E41:E42)</f>
        <v>0.196</v>
      </c>
    </row>
    <row r="45">
      <c r="A45" s="3" t="inlineStr">
        <is>
          <t>QUAL É O PIOR CASO — a resposta à tua pergunta</t>
        </is>
      </c>
      <c r="B45" s="4" t="n"/>
      <c r="C45" s="4" t="n"/>
      <c r="D45" s="4" t="n"/>
      <c r="E45" s="4" t="n"/>
      <c r="F45" s="4" t="n"/>
    </row>
    <row r="46">
      <c r="A46" s="9" t="inlineStr">
        <is>
          <t>Cenário</t>
        </is>
      </c>
      <c r="B46" s="9" t="inlineStr">
        <is>
          <t>Custo por dose</t>
        </is>
      </c>
      <c r="C46" s="9" t="inlineStr"/>
      <c r="D46" s="9" t="inlineStr"/>
      <c r="E46" s="9" t="inlineStr"/>
      <c r="F46" s="9" t="inlineStr">
        <is>
          <t>Leitura</t>
        </is>
      </c>
    </row>
    <row r="47">
      <c r="A47" s="10" t="inlineStr">
        <is>
          <t>Base padrão (arroz + feijão + farofa + salada)</t>
        </is>
      </c>
      <c r="B47" s="19" t="n">
        <v>0.5328000000000001</v>
      </c>
      <c r="C47" s="20" t="n"/>
      <c r="D47" s="20" t="n"/>
      <c r="E47" s="20" t="n"/>
      <c r="F47" s="15" t="inlineStr">
        <is>
          <t>É o que sai por omissão.</t>
        </is>
      </c>
    </row>
    <row r="48">
      <c r="A48" s="21" t="inlineStr">
        <is>
          <t>A · Batatas fritas em vez de arroz e feijão</t>
        </is>
      </c>
      <c r="B48" s="22" t="n">
        <v>0.5874</v>
      </c>
      <c r="C48" s="23" t="n"/>
      <c r="D48" s="23" t="n"/>
      <c r="E48" s="23" t="n"/>
      <c r="F48" s="24" t="inlineStr">
        <is>
          <t>PIOR CASO. As batatas custam 0,196 € e substituem 0,141 € de arroz e feijão — ficamos 0,055 € acima.</t>
        </is>
      </c>
    </row>
    <row r="49">
      <c r="A49" s="18" t="inlineStr">
        <is>
          <t>B · Batatas fritas em vez da salada</t>
        </is>
      </c>
      <c r="B49" s="25" t="n">
        <v>0.5558</v>
      </c>
      <c r="C49" s="26" t="n"/>
      <c r="D49" s="26" t="n"/>
      <c r="E49" s="26" t="n"/>
      <c r="F49" s="27" t="inlineStr">
        <is>
          <t>Intermédio. A salada custa 0,173 €, as batatas 0,196 €.</t>
        </is>
      </c>
    </row>
    <row r="50">
      <c r="A50" s="28" t="inlineStr">
        <is>
          <t>DECISÃO: custear tudo a 0,59 €</t>
        </is>
      </c>
      <c r="B50" s="29" t="n">
        <v>0.5874</v>
      </c>
      <c r="C50" s="30" t="n"/>
      <c r="D50" s="30" t="n"/>
      <c r="E50" s="30" t="n"/>
      <c r="F50" s="31" t="inlineStr">
        <is>
          <t>Recomendo custear todos os PF pelo cenário A. A diferença é de 5 cêntimos por dose — não vale a pena complicar o sistema com variantes, e assim nunca somos apanhados a descoberto.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52" customWidth="1" min="2" max="2"/>
    <col width="12" customWidth="1" min="3" max="3"/>
    <col width="11" customWidth="1" min="4" max="4"/>
    <col width="10" customWidth="1" min="5" max="5"/>
    <col width="11" customWidth="1" min="6" max="6"/>
    <col width="11" customWidth="1" min="7" max="7"/>
    <col width="58" customWidth="1" min="8" max="8"/>
  </cols>
  <sheetData>
    <row r="1">
      <c r="A1" s="7" t="inlineStr">
        <is>
          <t>FICHAS TÉCNICAS — UMA LINHA POR INGREDIENTE</t>
        </is>
      </c>
      <c r="B1" s="8" t="n"/>
      <c r="C1" s="8" t="n"/>
      <c r="D1" s="8" t="n"/>
      <c r="E1" s="8" t="n"/>
      <c r="F1" s="8" t="n"/>
      <c r="G1" s="8" t="n"/>
      <c r="H1" s="8" t="n"/>
    </row>
    <row r="2">
      <c r="A2" s="2" t="inlineStr">
        <is>
          <t>Quantidade POR DOSE SERVIDA, na unidade do item de stock. Nomes validados contra stock_items.</t>
        </is>
      </c>
    </row>
    <row r="4" ht="28" customHeight="1">
      <c r="A4" s="32" t="inlineStr">
        <is>
          <t>Prato</t>
        </is>
      </c>
      <c r="B4" s="32" t="inlineStr">
        <is>
          <t>Ingrediente (nome exacto do stock)</t>
        </is>
      </c>
      <c r="C4" s="32" t="inlineStr">
        <is>
          <t>Quantidade</t>
        </is>
      </c>
      <c r="D4" s="32" t="inlineStr">
        <is>
          <t>Unidade</t>
        </is>
      </c>
      <c r="E4" s="32" t="inlineStr">
        <is>
          <t>Origem</t>
        </is>
      </c>
      <c r="F4" s="32" t="inlineStr">
        <is>
          <t>Custo un. (€)</t>
        </is>
      </c>
      <c r="G4" s="32" t="inlineStr">
        <is>
          <t>Custo linha (€)</t>
        </is>
      </c>
      <c r="H4" s="32" t="inlineStr">
        <is>
          <t>Nota</t>
        </is>
      </c>
    </row>
    <row r="5">
      <c r="A5" s="3" t="inlineStr">
        <is>
          <t>▬ PRATO FEITO</t>
        </is>
      </c>
      <c r="B5" s="4" t="n"/>
      <c r="C5" s="4" t="n"/>
      <c r="D5" s="4" t="n"/>
      <c r="E5" s="4" t="n"/>
      <c r="F5" s="4" t="n"/>
      <c r="G5" s="4" t="n"/>
      <c r="H5" s="4" t="n"/>
    </row>
    <row r="6">
      <c r="A6" s="33" t="inlineStr">
        <is>
          <t>Bife Acebolado</t>
        </is>
      </c>
      <c r="B6" s="15" t="inlineStr">
        <is>
          <t>Bife de vaca (acém/vazia)</t>
        </is>
      </c>
      <c r="C6" s="11" t="n">
        <v>0.18</v>
      </c>
      <c r="D6" s="12" t="inlineStr">
        <is>
          <t>kg</t>
        </is>
      </c>
      <c r="E6" s="34" t="inlineStr">
        <is>
          <t>stock</t>
        </is>
      </c>
      <c r="F6" s="13" t="n">
        <v>13.5</v>
      </c>
      <c r="G6" s="35">
        <f>IFERROR(C6*F6,0)</f>
        <v>2.43</v>
      </c>
      <c r="H6" s="15" t="inlineStr">
        <is>
          <t>Bife de 2 cm. Peso limpo.</t>
        </is>
      </c>
    </row>
    <row r="7">
      <c r="A7" s="33" t="inlineStr"/>
      <c r="B7" s="15" t="inlineStr">
        <is>
          <t>Cebola</t>
        </is>
      </c>
      <c r="C7" s="11" t="n">
        <v>0.5</v>
      </c>
      <c r="D7" s="12" t="inlineStr">
        <is>
          <t>unidade</t>
        </is>
      </c>
      <c r="E7" s="34" t="inlineStr">
        <is>
          <t>stock</t>
        </is>
      </c>
      <c r="F7" s="13" t="n">
        <v>0.18</v>
      </c>
      <c r="G7" s="35">
        <f>IFERROR(C7*F7,0)</f>
        <v>0.09</v>
      </c>
      <c r="H7" s="15" t="inlineStr">
        <is>
          <t>Cebola caramelizada — 35 min em lume brando.</t>
        </is>
      </c>
    </row>
    <row r="8">
      <c r="A8" s="33" t="inlineStr"/>
      <c r="B8" s="15" t="inlineStr">
        <is>
          <t>Azeite virgem extra</t>
        </is>
      </c>
      <c r="C8" s="11" t="n">
        <v>0.005</v>
      </c>
      <c r="D8" s="12" t="inlineStr">
        <is>
          <t>unidade</t>
        </is>
      </c>
      <c r="E8" s="34" t="inlineStr">
        <is>
          <t>stock</t>
        </is>
      </c>
      <c r="F8" s="13" t="n">
        <v>5</v>
      </c>
      <c r="G8" s="35">
        <f>IFERROR(C8*F8,0)</f>
        <v>0.025</v>
      </c>
      <c r="H8" s="15" t="inlineStr">
        <is>
          <t>Selar o bife.</t>
        </is>
      </c>
    </row>
    <row r="9">
      <c r="A9" s="33" t="inlineStr"/>
      <c r="B9" s="15" t="inlineStr">
        <is>
          <t>Arroz agulha</t>
        </is>
      </c>
      <c r="C9" s="11" t="n">
        <v>0.05</v>
      </c>
      <c r="D9" s="12" t="inlineStr">
        <is>
          <t>kg</t>
        </is>
      </c>
      <c r="E9" s="34" t="inlineStr">
        <is>
          <t>stock</t>
        </is>
      </c>
      <c r="F9" s="13" t="n">
        <v>1.1</v>
      </c>
      <c r="G9" s="35">
        <f>IFERROR(C9*F9,0)</f>
        <v>0.055</v>
      </c>
      <c r="H9" s="15" t="inlineStr">
        <is>
          <t>Peso SECO. Rende ~150 g de arroz cozido por dose.</t>
        </is>
      </c>
    </row>
    <row r="10">
      <c r="A10" s="33" t="inlineStr"/>
      <c r="B10" s="15" t="inlineStr">
        <is>
          <t>Feijão preto</t>
        </is>
      </c>
      <c r="C10" s="11" t="n">
        <v>0.048</v>
      </c>
      <c r="D10" s="12" t="inlineStr">
        <is>
          <t>kg</t>
        </is>
      </c>
      <c r="E10" s="34" t="inlineStr">
        <is>
          <t>stock</t>
        </is>
      </c>
      <c r="F10" s="13" t="n">
        <v>1.8</v>
      </c>
      <c r="G10" s="35">
        <f>IFERROR(C10*F10,0)</f>
        <v>0.0864</v>
      </c>
      <c r="H10" s="15" t="inlineStr">
        <is>
          <t>Peso SECO. Rende ~120 g de feijão cozido por dose.</t>
        </is>
      </c>
    </row>
    <row r="11">
      <c r="A11" s="33" t="inlineStr"/>
      <c r="B11" s="15" t="inlineStr">
        <is>
          <t>Farinha de mandioca (farofa)</t>
        </is>
      </c>
      <c r="C11" s="11" t="n">
        <v>0.022</v>
      </c>
      <c r="D11" s="12" t="inlineStr">
        <is>
          <t>kg</t>
        </is>
      </c>
      <c r="E11" s="34" t="inlineStr">
        <is>
          <t>stock</t>
        </is>
      </c>
      <c r="F11" s="13" t="n">
        <v>2.5</v>
      </c>
      <c r="G11" s="35">
        <f>IFERROR(C11*F11,0)</f>
        <v>0.055</v>
      </c>
      <c r="H11" s="15" t="inlineStr">
        <is>
          <t>Rende ~30 g de farofa pronta.</t>
        </is>
      </c>
    </row>
    <row r="12">
      <c r="A12" s="33" t="inlineStr"/>
      <c r="B12" s="15" t="inlineStr">
        <is>
          <t>Manteiga</t>
        </is>
      </c>
      <c r="C12" s="11" t="n">
        <v>0.17</v>
      </c>
      <c r="D12" s="12" t="inlineStr">
        <is>
          <t>porção</t>
        </is>
      </c>
      <c r="E12" s="34" t="inlineStr">
        <is>
          <t>stock</t>
        </is>
      </c>
      <c r="F12" s="13" t="n">
        <v>0.12</v>
      </c>
      <c r="G12" s="35">
        <f>IFERROR(C12*F12,0)</f>
        <v>0.0204</v>
      </c>
      <c r="H12" s="15" t="inlineStr">
        <is>
          <t>Componente da farofa. ATENÇÃO: unidade "porção" sem gramagem definida em stock.</t>
        </is>
      </c>
    </row>
    <row r="13">
      <c r="A13" s="33" t="inlineStr"/>
      <c r="B13" s="15" t="inlineStr">
        <is>
          <t>Alface / mistura de salada</t>
        </is>
      </c>
      <c r="C13" s="11" t="n">
        <v>0.04</v>
      </c>
      <c r="D13" s="12" t="inlineStr">
        <is>
          <t>kg</t>
        </is>
      </c>
      <c r="E13" s="34" t="inlineStr">
        <is>
          <t>stock</t>
        </is>
      </c>
      <c r="F13" s="13" t="n">
        <v>3.5</v>
      </c>
      <c r="G13" s="35">
        <f>IFERROR(C13*F13,0)</f>
        <v>0.14</v>
      </c>
      <c r="H13" s="15" t="inlineStr">
        <is>
          <t>Salada de acompanhamento.</t>
        </is>
      </c>
    </row>
    <row r="14">
      <c r="A14" s="33" t="inlineStr"/>
      <c r="B14" s="15" t="inlineStr">
        <is>
          <t>Tomate fresco</t>
        </is>
      </c>
      <c r="C14" s="11" t="n">
        <v>0.015</v>
      </c>
      <c r="D14" s="12" t="inlineStr">
        <is>
          <t>kg</t>
        </is>
      </c>
      <c r="E14" s="34" t="inlineStr">
        <is>
          <t>stock</t>
        </is>
      </c>
      <c r="F14" s="13" t="n">
        <v>2.2</v>
      </c>
      <c r="G14" s="35">
        <f>IFERROR(C14*F14,0)</f>
        <v>0.033</v>
      </c>
      <c r="H14" s="15" t="inlineStr">
        <is>
          <t>Salada de acompanhamento.</t>
        </is>
      </c>
    </row>
    <row r="15">
      <c r="A15" s="33" t="inlineStr"/>
      <c r="B15" s="15" t="inlineStr">
        <is>
          <t>Cebola</t>
        </is>
      </c>
      <c r="C15" s="11" t="n">
        <v>0.1</v>
      </c>
      <c r="D15" s="12" t="inlineStr">
        <is>
          <t>unidade</t>
        </is>
      </c>
      <c r="E15" s="34" t="inlineStr">
        <is>
          <t>stock</t>
        </is>
      </c>
      <c r="F15" s="13" t="n">
        <v>0.18</v>
      </c>
      <c r="G15" s="35">
        <f>IFERROR(C15*F15,0)</f>
        <v>0.018</v>
      </c>
      <c r="H15" s="15" t="inlineStr">
        <is>
          <t>Refogado do arroz e da farofa.</t>
        </is>
      </c>
    </row>
    <row r="16">
      <c r="A16" s="33" t="inlineStr"/>
      <c r="B16" s="15" t="inlineStr">
        <is>
          <t>Alho fresco</t>
        </is>
      </c>
      <c r="C16" s="11" t="n">
        <v>0.002</v>
      </c>
      <c r="D16" s="12" t="inlineStr">
        <is>
          <t>kg</t>
        </is>
      </c>
      <c r="E16" s="34" t="inlineStr">
        <is>
          <t>stock</t>
        </is>
      </c>
      <c r="F16" s="13" t="n">
        <v>3.5</v>
      </c>
      <c r="G16" s="35">
        <f>IFERROR(C16*F16,0)</f>
        <v>0.007</v>
      </c>
      <c r="H16" s="15" t="inlineStr">
        <is>
          <t>Refogado do arroz e da farofa.</t>
        </is>
      </c>
    </row>
    <row r="17">
      <c r="A17" s="33" t="inlineStr"/>
      <c r="B17" s="15" t="inlineStr">
        <is>
          <t>Azeite virgem extra</t>
        </is>
      </c>
      <c r="C17" s="11" t="n">
        <v>0.02</v>
      </c>
      <c r="D17" s="12" t="inlineStr">
        <is>
          <t>unidade</t>
        </is>
      </c>
      <c r="E17" s="34" t="inlineStr">
        <is>
          <t>stock</t>
        </is>
      </c>
      <c r="F17" s="13" t="n">
        <v>5</v>
      </c>
      <c r="G17" s="35">
        <f>IFERROR(C17*F17,0)</f>
        <v>0.1</v>
      </c>
      <c r="H17" s="15" t="inlineStr">
        <is>
          <t>Refogados e tempero da salada. ATENÇÃO: unidade "unidade" a 5,00 € — confirmar se é garrafa de 1 L.</t>
        </is>
      </c>
    </row>
    <row r="18">
      <c r="A18" s="33" t="inlineStr"/>
      <c r="B18" s="15" t="inlineStr">
        <is>
          <t>Especiarias base (louro, alho em pó, pimenta preta, sal)</t>
        </is>
      </c>
      <c r="C18" s="11" t="n">
        <v>0.001</v>
      </c>
      <c r="D18" s="12" t="inlineStr">
        <is>
          <t>pacote</t>
        </is>
      </c>
      <c r="E18" s="34" t="inlineStr">
        <is>
          <t>stock</t>
        </is>
      </c>
      <c r="F18" s="13" t="n">
        <v>18</v>
      </c>
      <c r="G18" s="35">
        <f>IFERROR(C18*F18,0)</f>
        <v>0.018</v>
      </c>
      <c r="H18" s="15" t="inlineStr">
        <is>
          <t>Rateio por dose.</t>
        </is>
      </c>
    </row>
    <row r="19">
      <c r="A19" s="36" t="n"/>
      <c r="B19" s="37" t="inlineStr">
        <is>
          <t>CUSTO TOTAL POR DOSE — Bife Acebolado</t>
        </is>
      </c>
      <c r="C19" s="36" t="n"/>
      <c r="D19" s="36" t="n"/>
      <c r="E19" s="36" t="n"/>
      <c r="F19" s="36" t="n"/>
      <c r="G19" s="38">
        <f>SUM(G6:G18)</f>
        <v>3.0778</v>
      </c>
      <c r="H19" s="39" t="inlineStr">
        <is>
          <t>A tua suspeita era de que este prato estava apertado. Não está — ver folha de Food Cost.</t>
        </is>
      </c>
    </row>
    <row r="21">
      <c r="A21" s="33" t="inlineStr">
        <is>
          <t>Peito de Frango Grelhado</t>
        </is>
      </c>
      <c r="B21" s="15" t="inlineStr">
        <is>
          <t>Peito de frango</t>
        </is>
      </c>
      <c r="C21" s="11" t="n">
        <v>0.2</v>
      </c>
      <c r="D21" s="12" t="inlineStr">
        <is>
          <t>kg</t>
        </is>
      </c>
      <c r="E21" s="34" t="inlineStr">
        <is>
          <t>stock</t>
        </is>
      </c>
      <c r="F21" s="13" t="n">
        <v>6.5</v>
      </c>
      <c r="G21" s="35">
        <f>IFERROR(C21*F21,0)</f>
        <v>1.3</v>
      </c>
      <c r="H21" s="15" t="inlineStr">
        <is>
          <t>Marinado 2-4 h em limão e coentros.</t>
        </is>
      </c>
    </row>
    <row r="22">
      <c r="A22" s="33" t="inlineStr"/>
      <c r="B22" s="15" t="inlineStr">
        <is>
          <t>Limão</t>
        </is>
      </c>
      <c r="C22" s="11" t="n">
        <v>0.02</v>
      </c>
      <c r="D22" s="12" t="inlineStr">
        <is>
          <t>kg</t>
        </is>
      </c>
      <c r="E22" s="34" t="inlineStr">
        <is>
          <t>stock</t>
        </is>
      </c>
      <c r="F22" s="13" t="n">
        <v>2</v>
      </c>
      <c r="G22" s="35">
        <f>IFERROR(C22*F22,0)</f>
        <v>0.04</v>
      </c>
      <c r="H22" s="15" t="inlineStr">
        <is>
          <t>Marinada.</t>
        </is>
      </c>
    </row>
    <row r="23">
      <c r="A23" s="33" t="inlineStr"/>
      <c r="B23" s="15" t="inlineStr">
        <is>
          <t>Coentros</t>
        </is>
      </c>
      <c r="C23" s="11" t="n">
        <v>0.1</v>
      </c>
      <c r="D23" s="12" t="inlineStr">
        <is>
          <t>unidade</t>
        </is>
      </c>
      <c r="E23" s="34" t="inlineStr">
        <is>
          <t>stock</t>
        </is>
      </c>
      <c r="F23" s="13" t="n">
        <v>0.8</v>
      </c>
      <c r="G23" s="35">
        <f>IFERROR(C23*F23,0)</f>
        <v>0.08</v>
      </c>
      <c r="H23" s="15" t="inlineStr">
        <is>
          <t>Marinada — 1/10 de molho.</t>
        </is>
      </c>
    </row>
    <row r="24">
      <c r="A24" s="33" t="inlineStr"/>
      <c r="B24" s="15" t="inlineStr">
        <is>
          <t>Azeite virgem extra</t>
        </is>
      </c>
      <c r="C24" s="11" t="n">
        <v>0.005</v>
      </c>
      <c r="D24" s="12" t="inlineStr">
        <is>
          <t>unidade</t>
        </is>
      </c>
      <c r="E24" s="34" t="inlineStr">
        <is>
          <t>stock</t>
        </is>
      </c>
      <c r="F24" s="13" t="n">
        <v>5</v>
      </c>
      <c r="G24" s="35">
        <f>IFERROR(C24*F24,0)</f>
        <v>0.025</v>
      </c>
      <c r="H24" s="15" t="inlineStr">
        <is>
          <t>Marinada e grelha.</t>
        </is>
      </c>
    </row>
    <row r="25">
      <c r="A25" s="33" t="inlineStr"/>
      <c r="B25" s="15" t="inlineStr">
        <is>
          <t>Arroz agulha</t>
        </is>
      </c>
      <c r="C25" s="11" t="n">
        <v>0.05</v>
      </c>
      <c r="D25" s="12" t="inlineStr">
        <is>
          <t>kg</t>
        </is>
      </c>
      <c r="E25" s="34" t="inlineStr">
        <is>
          <t>stock</t>
        </is>
      </c>
      <c r="F25" s="13" t="n">
        <v>1.1</v>
      </c>
      <c r="G25" s="35">
        <f>IFERROR(C25*F25,0)</f>
        <v>0.055</v>
      </c>
      <c r="H25" s="15" t="inlineStr">
        <is>
          <t>Peso SECO. Rende ~150 g de arroz cozido por dose.</t>
        </is>
      </c>
    </row>
    <row r="26">
      <c r="A26" s="33" t="inlineStr"/>
      <c r="B26" s="15" t="inlineStr">
        <is>
          <t>Feijão preto</t>
        </is>
      </c>
      <c r="C26" s="11" t="n">
        <v>0.048</v>
      </c>
      <c r="D26" s="12" t="inlineStr">
        <is>
          <t>kg</t>
        </is>
      </c>
      <c r="E26" s="34" t="inlineStr">
        <is>
          <t>stock</t>
        </is>
      </c>
      <c r="F26" s="13" t="n">
        <v>1.8</v>
      </c>
      <c r="G26" s="35">
        <f>IFERROR(C26*F26,0)</f>
        <v>0.0864</v>
      </c>
      <c r="H26" s="15" t="inlineStr">
        <is>
          <t>Peso SECO. Rende ~120 g de feijão cozido por dose.</t>
        </is>
      </c>
    </row>
    <row r="27">
      <c r="A27" s="33" t="inlineStr"/>
      <c r="B27" s="15" t="inlineStr">
        <is>
          <t>Farinha de mandioca (farofa)</t>
        </is>
      </c>
      <c r="C27" s="11" t="n">
        <v>0.022</v>
      </c>
      <c r="D27" s="12" t="inlineStr">
        <is>
          <t>kg</t>
        </is>
      </c>
      <c r="E27" s="34" t="inlineStr">
        <is>
          <t>stock</t>
        </is>
      </c>
      <c r="F27" s="13" t="n">
        <v>2.5</v>
      </c>
      <c r="G27" s="35">
        <f>IFERROR(C27*F27,0)</f>
        <v>0.055</v>
      </c>
      <c r="H27" s="15" t="inlineStr">
        <is>
          <t>Rende ~30 g de farofa pronta.</t>
        </is>
      </c>
    </row>
    <row r="28">
      <c r="A28" s="33" t="inlineStr"/>
      <c r="B28" s="15" t="inlineStr">
        <is>
          <t>Manteiga</t>
        </is>
      </c>
      <c r="C28" s="11" t="n">
        <v>0.17</v>
      </c>
      <c r="D28" s="12" t="inlineStr">
        <is>
          <t>porção</t>
        </is>
      </c>
      <c r="E28" s="34" t="inlineStr">
        <is>
          <t>stock</t>
        </is>
      </c>
      <c r="F28" s="13" t="n">
        <v>0.12</v>
      </c>
      <c r="G28" s="35">
        <f>IFERROR(C28*F28,0)</f>
        <v>0.0204</v>
      </c>
      <c r="H28" s="15" t="inlineStr">
        <is>
          <t>Componente da farofa. ATENÇÃO: unidade "porção" sem gramagem definida em stock.</t>
        </is>
      </c>
    </row>
    <row r="29">
      <c r="A29" s="33" t="inlineStr"/>
      <c r="B29" s="15" t="inlineStr">
        <is>
          <t>Alface / mistura de salada</t>
        </is>
      </c>
      <c r="C29" s="11" t="n">
        <v>0.04</v>
      </c>
      <c r="D29" s="12" t="inlineStr">
        <is>
          <t>kg</t>
        </is>
      </c>
      <c r="E29" s="34" t="inlineStr">
        <is>
          <t>stock</t>
        </is>
      </c>
      <c r="F29" s="13" t="n">
        <v>3.5</v>
      </c>
      <c r="G29" s="35">
        <f>IFERROR(C29*F29,0)</f>
        <v>0.14</v>
      </c>
      <c r="H29" s="15" t="inlineStr">
        <is>
          <t>Salada de acompanhamento.</t>
        </is>
      </c>
    </row>
    <row r="30">
      <c r="A30" s="33" t="inlineStr"/>
      <c r="B30" s="15" t="inlineStr">
        <is>
          <t>Tomate fresco</t>
        </is>
      </c>
      <c r="C30" s="11" t="n">
        <v>0.015</v>
      </c>
      <c r="D30" s="12" t="inlineStr">
        <is>
          <t>kg</t>
        </is>
      </c>
      <c r="E30" s="34" t="inlineStr">
        <is>
          <t>stock</t>
        </is>
      </c>
      <c r="F30" s="13" t="n">
        <v>2.2</v>
      </c>
      <c r="G30" s="35">
        <f>IFERROR(C30*F30,0)</f>
        <v>0.033</v>
      </c>
      <c r="H30" s="15" t="inlineStr">
        <is>
          <t>Salada de acompanhamento.</t>
        </is>
      </c>
    </row>
    <row r="31">
      <c r="A31" s="33" t="inlineStr"/>
      <c r="B31" s="15" t="inlineStr">
        <is>
          <t>Cebola</t>
        </is>
      </c>
      <c r="C31" s="11" t="n">
        <v>0.1</v>
      </c>
      <c r="D31" s="12" t="inlineStr">
        <is>
          <t>unidade</t>
        </is>
      </c>
      <c r="E31" s="34" t="inlineStr">
        <is>
          <t>stock</t>
        </is>
      </c>
      <c r="F31" s="13" t="n">
        <v>0.18</v>
      </c>
      <c r="G31" s="35">
        <f>IFERROR(C31*F31,0)</f>
        <v>0.018</v>
      </c>
      <c r="H31" s="15" t="inlineStr">
        <is>
          <t>Refogado do arroz e da farofa.</t>
        </is>
      </c>
    </row>
    <row r="32">
      <c r="A32" s="33" t="inlineStr"/>
      <c r="B32" s="15" t="inlineStr">
        <is>
          <t>Alho fresco</t>
        </is>
      </c>
      <c r="C32" s="11" t="n">
        <v>0.002</v>
      </c>
      <c r="D32" s="12" t="inlineStr">
        <is>
          <t>kg</t>
        </is>
      </c>
      <c r="E32" s="34" t="inlineStr">
        <is>
          <t>stock</t>
        </is>
      </c>
      <c r="F32" s="13" t="n">
        <v>3.5</v>
      </c>
      <c r="G32" s="35">
        <f>IFERROR(C32*F32,0)</f>
        <v>0.007</v>
      </c>
      <c r="H32" s="15" t="inlineStr">
        <is>
          <t>Refogado do arroz e da farofa.</t>
        </is>
      </c>
    </row>
    <row r="33">
      <c r="A33" s="33" t="inlineStr"/>
      <c r="B33" s="15" t="inlineStr">
        <is>
          <t>Azeite virgem extra</t>
        </is>
      </c>
      <c r="C33" s="11" t="n">
        <v>0.02</v>
      </c>
      <c r="D33" s="12" t="inlineStr">
        <is>
          <t>unidade</t>
        </is>
      </c>
      <c r="E33" s="34" t="inlineStr">
        <is>
          <t>stock</t>
        </is>
      </c>
      <c r="F33" s="13" t="n">
        <v>5</v>
      </c>
      <c r="G33" s="35">
        <f>IFERROR(C33*F33,0)</f>
        <v>0.1</v>
      </c>
      <c r="H33" s="15" t="inlineStr">
        <is>
          <t>Refogados e tempero da salada. ATENÇÃO: unidade "unidade" a 5,00 € — confirmar se é garrafa de 1 L.</t>
        </is>
      </c>
    </row>
    <row r="34">
      <c r="A34" s="33" t="inlineStr"/>
      <c r="B34" s="15" t="inlineStr">
        <is>
          <t>Especiarias base (louro, alho em pó, pimenta preta, sal)</t>
        </is>
      </c>
      <c r="C34" s="11" t="n">
        <v>0.001</v>
      </c>
      <c r="D34" s="12" t="inlineStr">
        <is>
          <t>pacote</t>
        </is>
      </c>
      <c r="E34" s="34" t="inlineStr">
        <is>
          <t>stock</t>
        </is>
      </c>
      <c r="F34" s="13" t="n">
        <v>18</v>
      </c>
      <c r="G34" s="35">
        <f>IFERROR(C34*F34,0)</f>
        <v>0.018</v>
      </c>
      <c r="H34" s="15" t="inlineStr">
        <is>
          <t>Rateio por dose.</t>
        </is>
      </c>
    </row>
    <row r="35">
      <c r="A35" s="36" t="n"/>
      <c r="B35" s="37" t="inlineStr">
        <is>
          <t>CUSTO TOTAL POR DOSE — Peito de Frango Grelhado</t>
        </is>
      </c>
      <c r="C35" s="36" t="n"/>
      <c r="D35" s="36" t="n"/>
      <c r="E35" s="36" t="n"/>
      <c r="F35" s="36" t="n"/>
      <c r="G35" s="38">
        <f>SUM(G21:G34)</f>
        <v>1.9778</v>
      </c>
      <c r="H35" s="39" t="inlineStr">
        <is>
          <t>Obrigatório atingir 75 °C no centro, medidos com sonda.</t>
        </is>
      </c>
    </row>
    <row r="37">
      <c r="A37" s="33" t="inlineStr">
        <is>
          <t>Bacalhau à Brás</t>
        </is>
      </c>
      <c r="B37" s="15" t="inlineStr">
        <is>
          <t>Bacalhau desfiado demolhado congelado</t>
        </is>
      </c>
      <c r="C37" s="11" t="n">
        <v>0.16</v>
      </c>
      <c r="D37" s="12" t="inlineStr">
        <is>
          <t>kg</t>
        </is>
      </c>
      <c r="E37" s="34" t="inlineStr">
        <is>
          <t>stock</t>
        </is>
      </c>
      <c r="F37" s="13" t="n">
        <v>12</v>
      </c>
      <c r="G37" s="35">
        <f>IFERROR(C37*F37,0)</f>
        <v>1.92</v>
      </c>
      <c r="H37" s="15" t="inlineStr">
        <is>
          <t>Bem escorrido e espremido.</t>
        </is>
      </c>
    </row>
    <row r="38">
      <c r="A38" s="33" t="inlineStr"/>
      <c r="B38" s="15" t="inlineStr">
        <is>
          <t>Batata palha</t>
        </is>
      </c>
      <c r="C38" s="11" t="n">
        <v>0.08</v>
      </c>
      <c r="D38" s="12" t="inlineStr">
        <is>
          <t>kg</t>
        </is>
      </c>
      <c r="E38" s="34" t="inlineStr">
        <is>
          <t>stock</t>
        </is>
      </c>
      <c r="F38" s="13" t="n">
        <v>4.5</v>
      </c>
      <c r="G38" s="35">
        <f>IFERROR(C38*F38,0)</f>
        <v>0.36</v>
      </c>
      <c r="H38" s="15" t="inlineStr"/>
    </row>
    <row r="39">
      <c r="A39" s="33" t="inlineStr"/>
      <c r="B39" s="15" t="inlineStr">
        <is>
          <t>Ovos</t>
        </is>
      </c>
      <c r="C39" s="11" t="n">
        <v>2</v>
      </c>
      <c r="D39" s="12" t="inlineStr">
        <is>
          <t>unidade</t>
        </is>
      </c>
      <c r="E39" s="34" t="inlineStr">
        <is>
          <t>stock</t>
        </is>
      </c>
      <c r="F39" s="13" t="n">
        <v>0.22</v>
      </c>
      <c r="G39" s="35">
        <f>IFERROR(C39*F39,0)</f>
        <v>0.44</v>
      </c>
      <c r="H39" s="15" t="inlineStr"/>
    </row>
    <row r="40">
      <c r="A40" s="33" t="inlineStr"/>
      <c r="B40" s="15" t="inlineStr">
        <is>
          <t>Cebola</t>
        </is>
      </c>
      <c r="C40" s="11" t="n">
        <v>0.5</v>
      </c>
      <c r="D40" s="12" t="inlineStr">
        <is>
          <t>unidade</t>
        </is>
      </c>
      <c r="E40" s="34" t="inlineStr">
        <is>
          <t>stock</t>
        </is>
      </c>
      <c r="F40" s="13" t="n">
        <v>0.18</v>
      </c>
      <c r="G40" s="35">
        <f>IFERROR(C40*F40,0)</f>
        <v>0.09</v>
      </c>
      <c r="H40" s="15" t="inlineStr"/>
    </row>
    <row r="41">
      <c r="A41" s="33" t="inlineStr"/>
      <c r="B41" s="27" t="inlineStr">
        <is>
          <t>Azeitonas</t>
        </is>
      </c>
      <c r="C41" s="11" t="n">
        <v>0.015</v>
      </c>
      <c r="D41" s="12" t="inlineStr">
        <is>
          <t>kg</t>
        </is>
      </c>
      <c r="E41" s="40" t="inlineStr">
        <is>
          <t>A CRIAR</t>
        </is>
      </c>
      <c r="F41" s="13" t="n">
        <v>5</v>
      </c>
      <c r="G41" s="35">
        <f>IFERROR(C41*F41,0)</f>
        <v>0.075</v>
      </c>
      <c r="H41" s="15" t="inlineStr">
        <is>
          <t>ITEM A CRIAR. Guarnição.</t>
        </is>
      </c>
    </row>
    <row r="42">
      <c r="A42" s="33" t="inlineStr"/>
      <c r="B42" s="15" t="inlineStr">
        <is>
          <t>Azeite virgem extra</t>
        </is>
      </c>
      <c r="C42" s="11" t="n">
        <v>0.008</v>
      </c>
      <c r="D42" s="12" t="inlineStr">
        <is>
          <t>unidade</t>
        </is>
      </c>
      <c r="E42" s="34" t="inlineStr">
        <is>
          <t>stock</t>
        </is>
      </c>
      <c r="F42" s="13" t="n">
        <v>5</v>
      </c>
      <c r="G42" s="35">
        <f>IFERROR(C42*F42,0)</f>
        <v>0.04</v>
      </c>
      <c r="H42" s="15" t="inlineStr"/>
    </row>
    <row r="43">
      <c r="A43" s="33" t="inlineStr"/>
      <c r="B43" s="15" t="inlineStr">
        <is>
          <t>Alface / mistura de salada</t>
        </is>
      </c>
      <c r="C43" s="11" t="n">
        <v>0.04</v>
      </c>
      <c r="D43" s="12" t="inlineStr">
        <is>
          <t>kg</t>
        </is>
      </c>
      <c r="E43" s="34" t="inlineStr">
        <is>
          <t>stock</t>
        </is>
      </c>
      <c r="F43" s="13" t="n">
        <v>3.5</v>
      </c>
      <c r="G43" s="35">
        <f>IFERROR(C43*F43,0)</f>
        <v>0.14</v>
      </c>
      <c r="H43" s="15" t="inlineStr">
        <is>
          <t>Prato já completo — leva apenas salada.</t>
        </is>
      </c>
    </row>
    <row r="44">
      <c r="A44" s="33" t="inlineStr"/>
      <c r="B44" s="15" t="inlineStr">
        <is>
          <t>Tomate fresco</t>
        </is>
      </c>
      <c r="C44" s="11" t="n">
        <v>0.015</v>
      </c>
      <c r="D44" s="12" t="inlineStr">
        <is>
          <t>kg</t>
        </is>
      </c>
      <c r="E44" s="34" t="inlineStr">
        <is>
          <t>stock</t>
        </is>
      </c>
      <c r="F44" s="13" t="n">
        <v>2.2</v>
      </c>
      <c r="G44" s="35">
        <f>IFERROR(C44*F44,0)</f>
        <v>0.033</v>
      </c>
      <c r="H44" s="15" t="inlineStr"/>
    </row>
    <row r="45">
      <c r="A45" s="33" t="inlineStr"/>
      <c r="B45" s="15" t="inlineStr">
        <is>
          <t>Azeite virgem extra</t>
        </is>
      </c>
      <c r="C45" s="11" t="n">
        <v>0.008</v>
      </c>
      <c r="D45" s="12" t="inlineStr">
        <is>
          <t>unidade</t>
        </is>
      </c>
      <c r="E45" s="34" t="inlineStr">
        <is>
          <t>stock</t>
        </is>
      </c>
      <c r="F45" s="13" t="n">
        <v>5</v>
      </c>
      <c r="G45" s="35">
        <f>IFERROR(C45*F45,0)</f>
        <v>0.04</v>
      </c>
      <c r="H45" s="15" t="inlineStr">
        <is>
          <t>Tempero da salada.</t>
        </is>
      </c>
    </row>
    <row r="46">
      <c r="A46" s="33" t="inlineStr"/>
      <c r="B46" s="15" t="inlineStr">
        <is>
          <t>Especiarias base (louro, alho em pó, pimenta preta, sal)</t>
        </is>
      </c>
      <c r="C46" s="11" t="n">
        <v>0.0005</v>
      </c>
      <c r="D46" s="12" t="inlineStr">
        <is>
          <t>pacote</t>
        </is>
      </c>
      <c r="E46" s="34" t="inlineStr">
        <is>
          <t>stock</t>
        </is>
      </c>
      <c r="F46" s="13" t="n">
        <v>18</v>
      </c>
      <c r="G46" s="35">
        <f>IFERROR(C46*F46,0)</f>
        <v>0.009</v>
      </c>
      <c r="H46" s="15" t="inlineStr">
        <is>
          <t>Rateio por dose.</t>
        </is>
      </c>
    </row>
    <row r="47">
      <c r="A47" s="36" t="n"/>
      <c r="B47" s="37" t="inlineStr">
        <is>
          <t>CUSTO TOTAL POR DOSE — Bacalhau à Brás</t>
        </is>
      </c>
      <c r="C47" s="36" t="n"/>
      <c r="D47" s="36" t="n"/>
      <c r="E47" s="36" t="n"/>
      <c r="F47" s="36" t="n"/>
      <c r="G47" s="38">
        <f>SUM(G37:G46)</f>
        <v>3.147</v>
      </c>
      <c r="H47" s="39" t="inlineStr">
        <is>
          <t>Prato completo (peixe + batata + ovo). Não leva arroz nem feijão — só salada.</t>
        </is>
      </c>
    </row>
    <row r="49">
      <c r="A49" s="33" t="inlineStr">
        <is>
          <t>Filet de Peixe</t>
        </is>
      </c>
      <c r="B49" s="27" t="inlineStr">
        <is>
          <t>Filete de pescada congelado</t>
        </is>
      </c>
      <c r="C49" s="11" t="n">
        <v>0.2</v>
      </c>
      <c r="D49" s="12" t="inlineStr">
        <is>
          <t>kg</t>
        </is>
      </c>
      <c r="E49" s="40" t="inlineStr">
        <is>
          <t>A CRIAR</t>
        </is>
      </c>
      <c r="F49" s="13" t="n">
        <v>6.8</v>
      </c>
      <c r="G49" s="35">
        <f>IFERROR(C49*F49,0)</f>
        <v>1.36</v>
      </c>
      <c r="H49" s="15" t="inlineStr">
        <is>
          <t>ITEM A CRIAR. Usar o "Peixe fresco do dia" torna impossível ter preço fixo.</t>
        </is>
      </c>
    </row>
    <row r="50">
      <c r="A50" s="33" t="inlineStr"/>
      <c r="B50" s="15" t="inlineStr">
        <is>
          <t>Farinha de trigo</t>
        </is>
      </c>
      <c r="C50" s="11" t="n">
        <v>0.02</v>
      </c>
      <c r="D50" s="12" t="inlineStr">
        <is>
          <t>kg</t>
        </is>
      </c>
      <c r="E50" s="34" t="inlineStr">
        <is>
          <t>stock</t>
        </is>
      </c>
      <c r="F50" s="13" t="n">
        <v>0.9</v>
      </c>
      <c r="G50" s="35">
        <f>IFERROR(C50*F50,0)</f>
        <v>0.018</v>
      </c>
      <c r="H50" s="15" t="inlineStr">
        <is>
          <t>Panagem leve.</t>
        </is>
      </c>
    </row>
    <row r="51">
      <c r="A51" s="33" t="inlineStr"/>
      <c r="B51" s="15" t="inlineStr">
        <is>
          <t>Ovos</t>
        </is>
      </c>
      <c r="C51" s="11" t="n">
        <v>1</v>
      </c>
      <c r="D51" s="12" t="inlineStr">
        <is>
          <t>unidade</t>
        </is>
      </c>
      <c r="E51" s="34" t="inlineStr">
        <is>
          <t>stock</t>
        </is>
      </c>
      <c r="F51" s="13" t="n">
        <v>0.22</v>
      </c>
      <c r="G51" s="35">
        <f>IFERROR(C51*F51,0)</f>
        <v>0.22</v>
      </c>
      <c r="H51" s="15" t="inlineStr">
        <is>
          <t>Panagem.</t>
        </is>
      </c>
    </row>
    <row r="52">
      <c r="A52" s="33" t="inlineStr"/>
      <c r="B52" s="15" t="inlineStr">
        <is>
          <t>Limão</t>
        </is>
      </c>
      <c r="C52" s="11" t="n">
        <v>0.015</v>
      </c>
      <c r="D52" s="12" t="inlineStr">
        <is>
          <t>kg</t>
        </is>
      </c>
      <c r="E52" s="34" t="inlineStr">
        <is>
          <t>stock</t>
        </is>
      </c>
      <c r="F52" s="13" t="n">
        <v>2</v>
      </c>
      <c r="G52" s="35">
        <f>IFERROR(C52*F52,0)</f>
        <v>0.03</v>
      </c>
      <c r="H52" s="15" t="inlineStr"/>
    </row>
    <row r="53">
      <c r="A53" s="33" t="inlineStr"/>
      <c r="B53" s="15" t="inlineStr">
        <is>
          <t>Óleo de fritura (girassol)</t>
        </is>
      </c>
      <c r="C53" s="11" t="n">
        <v>0.015</v>
      </c>
      <c r="D53" s="12" t="inlineStr">
        <is>
          <t>litro</t>
        </is>
      </c>
      <c r="E53" s="34" t="inlineStr">
        <is>
          <t>stock</t>
        </is>
      </c>
      <c r="F53" s="13" t="n">
        <v>1.6</v>
      </c>
      <c r="G53" s="35">
        <f>IFERROR(C53*F53,0)</f>
        <v>0.024</v>
      </c>
      <c r="H53" s="15" t="inlineStr"/>
    </row>
    <row r="54">
      <c r="A54" s="33" t="inlineStr"/>
      <c r="B54" s="15" t="inlineStr">
        <is>
          <t>Arroz agulha</t>
        </is>
      </c>
      <c r="C54" s="11" t="n">
        <v>0.05</v>
      </c>
      <c r="D54" s="12" t="inlineStr">
        <is>
          <t>kg</t>
        </is>
      </c>
      <c r="E54" s="34" t="inlineStr">
        <is>
          <t>stock</t>
        </is>
      </c>
      <c r="F54" s="13" t="n">
        <v>1.1</v>
      </c>
      <c r="G54" s="35">
        <f>IFERROR(C54*F54,0)</f>
        <v>0.055</v>
      </c>
      <c r="H54" s="15" t="inlineStr">
        <is>
          <t>Peso SECO. Rende ~150 g de arroz cozido por dose.</t>
        </is>
      </c>
    </row>
    <row r="55">
      <c r="A55" s="33" t="inlineStr"/>
      <c r="B55" s="15" t="inlineStr">
        <is>
          <t>Feijão preto</t>
        </is>
      </c>
      <c r="C55" s="11" t="n">
        <v>0.048</v>
      </c>
      <c r="D55" s="12" t="inlineStr">
        <is>
          <t>kg</t>
        </is>
      </c>
      <c r="E55" s="34" t="inlineStr">
        <is>
          <t>stock</t>
        </is>
      </c>
      <c r="F55" s="13" t="n">
        <v>1.8</v>
      </c>
      <c r="G55" s="35">
        <f>IFERROR(C55*F55,0)</f>
        <v>0.0864</v>
      </c>
      <c r="H55" s="15" t="inlineStr">
        <is>
          <t>Peso SECO. Rende ~120 g de feijão cozido por dose.</t>
        </is>
      </c>
    </row>
    <row r="56">
      <c r="A56" s="33" t="inlineStr"/>
      <c r="B56" s="15" t="inlineStr">
        <is>
          <t>Farinha de mandioca (farofa)</t>
        </is>
      </c>
      <c r="C56" s="11" t="n">
        <v>0.022</v>
      </c>
      <c r="D56" s="12" t="inlineStr">
        <is>
          <t>kg</t>
        </is>
      </c>
      <c r="E56" s="34" t="inlineStr">
        <is>
          <t>stock</t>
        </is>
      </c>
      <c r="F56" s="13" t="n">
        <v>2.5</v>
      </c>
      <c r="G56" s="35">
        <f>IFERROR(C56*F56,0)</f>
        <v>0.055</v>
      </c>
      <c r="H56" s="15" t="inlineStr">
        <is>
          <t>Rende ~30 g de farofa pronta.</t>
        </is>
      </c>
    </row>
    <row r="57">
      <c r="A57" s="33" t="inlineStr"/>
      <c r="B57" s="15" t="inlineStr">
        <is>
          <t>Manteiga</t>
        </is>
      </c>
      <c r="C57" s="11" t="n">
        <v>0.17</v>
      </c>
      <c r="D57" s="12" t="inlineStr">
        <is>
          <t>porção</t>
        </is>
      </c>
      <c r="E57" s="34" t="inlineStr">
        <is>
          <t>stock</t>
        </is>
      </c>
      <c r="F57" s="13" t="n">
        <v>0.12</v>
      </c>
      <c r="G57" s="35">
        <f>IFERROR(C57*F57,0)</f>
        <v>0.0204</v>
      </c>
      <c r="H57" s="15" t="inlineStr">
        <is>
          <t>Componente da farofa. ATENÇÃO: unidade "porção" sem gramagem definida em stock.</t>
        </is>
      </c>
    </row>
    <row r="58">
      <c r="A58" s="33" t="inlineStr"/>
      <c r="B58" s="15" t="inlineStr">
        <is>
          <t>Alface / mistura de salada</t>
        </is>
      </c>
      <c r="C58" s="11" t="n">
        <v>0.04</v>
      </c>
      <c r="D58" s="12" t="inlineStr">
        <is>
          <t>kg</t>
        </is>
      </c>
      <c r="E58" s="34" t="inlineStr">
        <is>
          <t>stock</t>
        </is>
      </c>
      <c r="F58" s="13" t="n">
        <v>3.5</v>
      </c>
      <c r="G58" s="35">
        <f>IFERROR(C58*F58,0)</f>
        <v>0.14</v>
      </c>
      <c r="H58" s="15" t="inlineStr">
        <is>
          <t>Salada de acompanhamento.</t>
        </is>
      </c>
    </row>
    <row r="59">
      <c r="A59" s="33" t="inlineStr"/>
      <c r="B59" s="15" t="inlineStr">
        <is>
          <t>Tomate fresco</t>
        </is>
      </c>
      <c r="C59" s="11" t="n">
        <v>0.015</v>
      </c>
      <c r="D59" s="12" t="inlineStr">
        <is>
          <t>kg</t>
        </is>
      </c>
      <c r="E59" s="34" t="inlineStr">
        <is>
          <t>stock</t>
        </is>
      </c>
      <c r="F59" s="13" t="n">
        <v>2.2</v>
      </c>
      <c r="G59" s="35">
        <f>IFERROR(C59*F59,0)</f>
        <v>0.033</v>
      </c>
      <c r="H59" s="15" t="inlineStr">
        <is>
          <t>Salada de acompanhamento.</t>
        </is>
      </c>
    </row>
    <row r="60">
      <c r="A60" s="33" t="inlineStr"/>
      <c r="B60" s="15" t="inlineStr">
        <is>
          <t>Cebola</t>
        </is>
      </c>
      <c r="C60" s="11" t="n">
        <v>0.1</v>
      </c>
      <c r="D60" s="12" t="inlineStr">
        <is>
          <t>unidade</t>
        </is>
      </c>
      <c r="E60" s="34" t="inlineStr">
        <is>
          <t>stock</t>
        </is>
      </c>
      <c r="F60" s="13" t="n">
        <v>0.18</v>
      </c>
      <c r="G60" s="35">
        <f>IFERROR(C60*F60,0)</f>
        <v>0.018</v>
      </c>
      <c r="H60" s="15" t="inlineStr">
        <is>
          <t>Refogado do arroz e da farofa.</t>
        </is>
      </c>
    </row>
    <row r="61">
      <c r="A61" s="33" t="inlineStr"/>
      <c r="B61" s="15" t="inlineStr">
        <is>
          <t>Alho fresco</t>
        </is>
      </c>
      <c r="C61" s="11" t="n">
        <v>0.002</v>
      </c>
      <c r="D61" s="12" t="inlineStr">
        <is>
          <t>kg</t>
        </is>
      </c>
      <c r="E61" s="34" t="inlineStr">
        <is>
          <t>stock</t>
        </is>
      </c>
      <c r="F61" s="13" t="n">
        <v>3.5</v>
      </c>
      <c r="G61" s="35">
        <f>IFERROR(C61*F61,0)</f>
        <v>0.007</v>
      </c>
      <c r="H61" s="15" t="inlineStr">
        <is>
          <t>Refogado do arroz e da farofa.</t>
        </is>
      </c>
    </row>
    <row r="62">
      <c r="A62" s="33" t="inlineStr"/>
      <c r="B62" s="15" t="inlineStr">
        <is>
          <t>Azeite virgem extra</t>
        </is>
      </c>
      <c r="C62" s="11" t="n">
        <v>0.02</v>
      </c>
      <c r="D62" s="12" t="inlineStr">
        <is>
          <t>unidade</t>
        </is>
      </c>
      <c r="E62" s="34" t="inlineStr">
        <is>
          <t>stock</t>
        </is>
      </c>
      <c r="F62" s="13" t="n">
        <v>5</v>
      </c>
      <c r="G62" s="35">
        <f>IFERROR(C62*F62,0)</f>
        <v>0.1</v>
      </c>
      <c r="H62" s="15" t="inlineStr">
        <is>
          <t>Refogados e tempero da salada. ATENÇÃO: unidade "unidade" a 5,00 € — confirmar se é garrafa de 1 L.</t>
        </is>
      </c>
    </row>
    <row r="63">
      <c r="A63" s="33" t="inlineStr"/>
      <c r="B63" s="15" t="inlineStr">
        <is>
          <t>Especiarias base (louro, alho em pó, pimenta preta, sal)</t>
        </is>
      </c>
      <c r="C63" s="11" t="n">
        <v>0.001</v>
      </c>
      <c r="D63" s="12" t="inlineStr">
        <is>
          <t>pacote</t>
        </is>
      </c>
      <c r="E63" s="34" t="inlineStr">
        <is>
          <t>stock</t>
        </is>
      </c>
      <c r="F63" s="13" t="n">
        <v>18</v>
      </c>
      <c r="G63" s="35">
        <f>IFERROR(C63*F63,0)</f>
        <v>0.018</v>
      </c>
      <c r="H63" s="15" t="inlineStr">
        <is>
          <t>Rateio por dose.</t>
        </is>
      </c>
    </row>
    <row r="64">
      <c r="A64" s="36" t="n"/>
      <c r="B64" s="37" t="inlineStr">
        <is>
          <t>CUSTO TOTAL POR DOSE — Filet de Peixe</t>
        </is>
      </c>
      <c r="C64" s="36" t="n"/>
      <c r="D64" s="36" t="n"/>
      <c r="E64" s="36" t="n"/>
      <c r="F64" s="36" t="n"/>
      <c r="G64" s="38">
        <f>SUM(G49:G63)</f>
        <v>2.1848</v>
      </c>
      <c r="H64" s="39" t="inlineStr"/>
    </row>
    <row r="66">
      <c r="A66" s="33" t="inlineStr">
        <is>
          <t>Peito de Frango Amilanesa</t>
        </is>
      </c>
      <c r="B66" s="15" t="inlineStr">
        <is>
          <t>Peito de frango</t>
        </is>
      </c>
      <c r="C66" s="11" t="n">
        <v>0.2</v>
      </c>
      <c r="D66" s="12" t="inlineStr">
        <is>
          <t>kg</t>
        </is>
      </c>
      <c r="E66" s="34" t="inlineStr">
        <is>
          <t>stock</t>
        </is>
      </c>
      <c r="F66" s="13" t="n">
        <v>6.5</v>
      </c>
      <c r="G66" s="35">
        <f>IFERROR(C66*F66,0)</f>
        <v>1.3</v>
      </c>
      <c r="H66" s="15" t="inlineStr">
        <is>
          <t>Espalmado a 1 cm.</t>
        </is>
      </c>
    </row>
    <row r="67">
      <c r="A67" s="33" t="inlineStr"/>
      <c r="B67" s="15" t="inlineStr">
        <is>
          <t>Ovos</t>
        </is>
      </c>
      <c r="C67" s="11" t="n">
        <v>1</v>
      </c>
      <c r="D67" s="12" t="inlineStr">
        <is>
          <t>unidade</t>
        </is>
      </c>
      <c r="E67" s="34" t="inlineStr">
        <is>
          <t>stock</t>
        </is>
      </c>
      <c r="F67" s="13" t="n">
        <v>0.22</v>
      </c>
      <c r="G67" s="35">
        <f>IFERROR(C67*F67,0)</f>
        <v>0.22</v>
      </c>
      <c r="H67" s="15" t="inlineStr">
        <is>
          <t>Panagem.</t>
        </is>
      </c>
    </row>
    <row r="68">
      <c r="A68" s="33" t="inlineStr"/>
      <c r="B68" s="15" t="inlineStr">
        <is>
          <t>Farinha de trigo</t>
        </is>
      </c>
      <c r="C68" s="11" t="n">
        <v>0.025</v>
      </c>
      <c r="D68" s="12" t="inlineStr">
        <is>
          <t>kg</t>
        </is>
      </c>
      <c r="E68" s="34" t="inlineStr">
        <is>
          <t>stock</t>
        </is>
      </c>
      <c r="F68" s="13" t="n">
        <v>0.9</v>
      </c>
      <c r="G68" s="35">
        <f>IFERROR(C68*F68,0)</f>
        <v>0.0225</v>
      </c>
      <c r="H68" s="15" t="inlineStr">
        <is>
          <t>Panagem.</t>
        </is>
      </c>
    </row>
    <row r="69">
      <c r="A69" s="33" t="inlineStr"/>
      <c r="B69" s="27" t="inlineStr">
        <is>
          <t>Pão ralado</t>
        </is>
      </c>
      <c r="C69" s="11" t="n">
        <v>0.04</v>
      </c>
      <c r="D69" s="12" t="inlineStr">
        <is>
          <t>kg</t>
        </is>
      </c>
      <c r="E69" s="40" t="inlineStr">
        <is>
          <t>A CRIAR</t>
        </is>
      </c>
      <c r="F69" s="13" t="n">
        <v>1.8</v>
      </c>
      <c r="G69" s="35">
        <f>IFERROR(C69*F69,0)</f>
        <v>0.072</v>
      </c>
      <c r="H69" s="15" t="inlineStr">
        <is>
          <t>ITEM A CRIAR. Panagem.</t>
        </is>
      </c>
    </row>
    <row r="70">
      <c r="A70" s="33" t="inlineStr"/>
      <c r="B70" s="15" t="inlineStr">
        <is>
          <t>Óleo de fritura (girassol)</t>
        </is>
      </c>
      <c r="C70" s="11" t="n">
        <v>0.02</v>
      </c>
      <c r="D70" s="12" t="inlineStr">
        <is>
          <t>litro</t>
        </is>
      </c>
      <c r="E70" s="34" t="inlineStr">
        <is>
          <t>stock</t>
        </is>
      </c>
      <c r="F70" s="13" t="n">
        <v>1.6</v>
      </c>
      <c r="G70" s="35">
        <f>IFERROR(C70*F70,0)</f>
        <v>0.032</v>
      </c>
      <c r="H70" s="15" t="inlineStr"/>
    </row>
    <row r="71">
      <c r="A71" s="33" t="inlineStr"/>
      <c r="B71" s="15" t="inlineStr">
        <is>
          <t>Limão</t>
        </is>
      </c>
      <c r="C71" s="11" t="n">
        <v>0.015</v>
      </c>
      <c r="D71" s="12" t="inlineStr">
        <is>
          <t>kg</t>
        </is>
      </c>
      <c r="E71" s="34" t="inlineStr">
        <is>
          <t>stock</t>
        </is>
      </c>
      <c r="F71" s="13" t="n">
        <v>2</v>
      </c>
      <c r="G71" s="35">
        <f>IFERROR(C71*F71,0)</f>
        <v>0.03</v>
      </c>
      <c r="H71" s="15" t="inlineStr"/>
    </row>
    <row r="72">
      <c r="A72" s="33" t="inlineStr"/>
      <c r="B72" s="15" t="inlineStr">
        <is>
          <t>Arroz agulha</t>
        </is>
      </c>
      <c r="C72" s="11" t="n">
        <v>0.05</v>
      </c>
      <c r="D72" s="12" t="inlineStr">
        <is>
          <t>kg</t>
        </is>
      </c>
      <c r="E72" s="34" t="inlineStr">
        <is>
          <t>stock</t>
        </is>
      </c>
      <c r="F72" s="13" t="n">
        <v>1.1</v>
      </c>
      <c r="G72" s="35">
        <f>IFERROR(C72*F72,0)</f>
        <v>0.055</v>
      </c>
      <c r="H72" s="15" t="inlineStr">
        <is>
          <t>Peso SECO. Rende ~150 g de arroz cozido por dose.</t>
        </is>
      </c>
    </row>
    <row r="73">
      <c r="A73" s="33" t="inlineStr"/>
      <c r="B73" s="15" t="inlineStr">
        <is>
          <t>Feijão preto</t>
        </is>
      </c>
      <c r="C73" s="11" t="n">
        <v>0.048</v>
      </c>
      <c r="D73" s="12" t="inlineStr">
        <is>
          <t>kg</t>
        </is>
      </c>
      <c r="E73" s="34" t="inlineStr">
        <is>
          <t>stock</t>
        </is>
      </c>
      <c r="F73" s="13" t="n">
        <v>1.8</v>
      </c>
      <c r="G73" s="35">
        <f>IFERROR(C73*F73,0)</f>
        <v>0.0864</v>
      </c>
      <c r="H73" s="15" t="inlineStr">
        <is>
          <t>Peso SECO. Rende ~120 g de feijão cozido por dose.</t>
        </is>
      </c>
    </row>
    <row r="74">
      <c r="A74" s="33" t="inlineStr"/>
      <c r="B74" s="15" t="inlineStr">
        <is>
          <t>Farinha de mandioca (farofa)</t>
        </is>
      </c>
      <c r="C74" s="11" t="n">
        <v>0.022</v>
      </c>
      <c r="D74" s="12" t="inlineStr">
        <is>
          <t>kg</t>
        </is>
      </c>
      <c r="E74" s="34" t="inlineStr">
        <is>
          <t>stock</t>
        </is>
      </c>
      <c r="F74" s="13" t="n">
        <v>2.5</v>
      </c>
      <c r="G74" s="35">
        <f>IFERROR(C74*F74,0)</f>
        <v>0.055</v>
      </c>
      <c r="H74" s="15" t="inlineStr">
        <is>
          <t>Rende ~30 g de farofa pronta.</t>
        </is>
      </c>
    </row>
    <row r="75">
      <c r="A75" s="33" t="inlineStr"/>
      <c r="B75" s="15" t="inlineStr">
        <is>
          <t>Manteiga</t>
        </is>
      </c>
      <c r="C75" s="11" t="n">
        <v>0.17</v>
      </c>
      <c r="D75" s="12" t="inlineStr">
        <is>
          <t>porção</t>
        </is>
      </c>
      <c r="E75" s="34" t="inlineStr">
        <is>
          <t>stock</t>
        </is>
      </c>
      <c r="F75" s="13" t="n">
        <v>0.12</v>
      </c>
      <c r="G75" s="35">
        <f>IFERROR(C75*F75,0)</f>
        <v>0.0204</v>
      </c>
      <c r="H75" s="15" t="inlineStr">
        <is>
          <t>Componente da farofa. ATENÇÃO: unidade "porção" sem gramagem definida em stock.</t>
        </is>
      </c>
    </row>
    <row r="76">
      <c r="A76" s="33" t="inlineStr"/>
      <c r="B76" s="15" t="inlineStr">
        <is>
          <t>Alface / mistura de salada</t>
        </is>
      </c>
      <c r="C76" s="11" t="n">
        <v>0.04</v>
      </c>
      <c r="D76" s="12" t="inlineStr">
        <is>
          <t>kg</t>
        </is>
      </c>
      <c r="E76" s="34" t="inlineStr">
        <is>
          <t>stock</t>
        </is>
      </c>
      <c r="F76" s="13" t="n">
        <v>3.5</v>
      </c>
      <c r="G76" s="35">
        <f>IFERROR(C76*F76,0)</f>
        <v>0.14</v>
      </c>
      <c r="H76" s="15" t="inlineStr">
        <is>
          <t>Salada de acompanhamento.</t>
        </is>
      </c>
    </row>
    <row r="77">
      <c r="A77" s="33" t="inlineStr"/>
      <c r="B77" s="15" t="inlineStr">
        <is>
          <t>Tomate fresco</t>
        </is>
      </c>
      <c r="C77" s="11" t="n">
        <v>0.015</v>
      </c>
      <c r="D77" s="12" t="inlineStr">
        <is>
          <t>kg</t>
        </is>
      </c>
      <c r="E77" s="34" t="inlineStr">
        <is>
          <t>stock</t>
        </is>
      </c>
      <c r="F77" s="13" t="n">
        <v>2.2</v>
      </c>
      <c r="G77" s="35">
        <f>IFERROR(C77*F77,0)</f>
        <v>0.033</v>
      </c>
      <c r="H77" s="15" t="inlineStr">
        <is>
          <t>Salada de acompanhamento.</t>
        </is>
      </c>
    </row>
    <row r="78">
      <c r="A78" s="33" t="inlineStr"/>
      <c r="B78" s="15" t="inlineStr">
        <is>
          <t>Cebola</t>
        </is>
      </c>
      <c r="C78" s="11" t="n">
        <v>0.1</v>
      </c>
      <c r="D78" s="12" t="inlineStr">
        <is>
          <t>unidade</t>
        </is>
      </c>
      <c r="E78" s="34" t="inlineStr">
        <is>
          <t>stock</t>
        </is>
      </c>
      <c r="F78" s="13" t="n">
        <v>0.18</v>
      </c>
      <c r="G78" s="35">
        <f>IFERROR(C78*F78,0)</f>
        <v>0.018</v>
      </c>
      <c r="H78" s="15" t="inlineStr">
        <is>
          <t>Refogado do arroz e da farofa.</t>
        </is>
      </c>
    </row>
    <row r="79">
      <c r="A79" s="33" t="inlineStr"/>
      <c r="B79" s="15" t="inlineStr">
        <is>
          <t>Alho fresco</t>
        </is>
      </c>
      <c r="C79" s="11" t="n">
        <v>0.002</v>
      </c>
      <c r="D79" s="12" t="inlineStr">
        <is>
          <t>kg</t>
        </is>
      </c>
      <c r="E79" s="34" t="inlineStr">
        <is>
          <t>stock</t>
        </is>
      </c>
      <c r="F79" s="13" t="n">
        <v>3.5</v>
      </c>
      <c r="G79" s="35">
        <f>IFERROR(C79*F79,0)</f>
        <v>0.007</v>
      </c>
      <c r="H79" s="15" t="inlineStr">
        <is>
          <t>Refogado do arroz e da farofa.</t>
        </is>
      </c>
    </row>
    <row r="80">
      <c r="A80" s="33" t="inlineStr"/>
      <c r="B80" s="15" t="inlineStr">
        <is>
          <t>Azeite virgem extra</t>
        </is>
      </c>
      <c r="C80" s="11" t="n">
        <v>0.02</v>
      </c>
      <c r="D80" s="12" t="inlineStr">
        <is>
          <t>unidade</t>
        </is>
      </c>
      <c r="E80" s="34" t="inlineStr">
        <is>
          <t>stock</t>
        </is>
      </c>
      <c r="F80" s="13" t="n">
        <v>5</v>
      </c>
      <c r="G80" s="35">
        <f>IFERROR(C80*F80,0)</f>
        <v>0.1</v>
      </c>
      <c r="H80" s="15" t="inlineStr">
        <is>
          <t>Refogados e tempero da salada. ATENÇÃO: unidade "unidade" a 5,00 € — confirmar se é garrafa de 1 L.</t>
        </is>
      </c>
    </row>
    <row r="81">
      <c r="A81" s="33" t="inlineStr"/>
      <c r="B81" s="15" t="inlineStr">
        <is>
          <t>Especiarias base (louro, alho em pó, pimenta preta, sal)</t>
        </is>
      </c>
      <c r="C81" s="11" t="n">
        <v>0.001</v>
      </c>
      <c r="D81" s="12" t="inlineStr">
        <is>
          <t>pacote</t>
        </is>
      </c>
      <c r="E81" s="34" t="inlineStr">
        <is>
          <t>stock</t>
        </is>
      </c>
      <c r="F81" s="13" t="n">
        <v>18</v>
      </c>
      <c r="G81" s="35">
        <f>IFERROR(C81*F81,0)</f>
        <v>0.018</v>
      </c>
      <c r="H81" s="15" t="inlineStr">
        <is>
          <t>Rateio por dose.</t>
        </is>
      </c>
    </row>
    <row r="82">
      <c r="A82" s="36" t="n"/>
      <c r="B82" s="37" t="inlineStr">
        <is>
          <t>CUSTO TOTAL POR DOSE — Peito de Frango Amilanesa</t>
        </is>
      </c>
      <c r="C82" s="36" t="n"/>
      <c r="D82" s="36" t="n"/>
      <c r="E82" s="36" t="n"/>
      <c r="F82" s="36" t="n"/>
      <c r="G82" s="38">
        <f>SUM(G66:G81)</f>
        <v>2.2093</v>
      </c>
      <c r="H82" s="39" t="inlineStr">
        <is>
          <t>Frito — conta para a carga da fritadeira no pico de almoço.</t>
        </is>
      </c>
    </row>
    <row r="84">
      <c r="A84" s="33" t="inlineStr">
        <is>
          <t>Carne de Porco à Alentejana</t>
        </is>
      </c>
      <c r="B84" s="15" t="inlineStr">
        <is>
          <t>Entremeada de porco</t>
        </is>
      </c>
      <c r="C84" s="11" t="n">
        <v>0.18</v>
      </c>
      <c r="D84" s="12" t="inlineStr">
        <is>
          <t>kg</t>
        </is>
      </c>
      <c r="E84" s="34" t="inlineStr">
        <is>
          <t>stock</t>
        </is>
      </c>
      <c r="F84" s="13" t="n">
        <v>7</v>
      </c>
      <c r="G84" s="35">
        <f>IFERROR(C84*F84,0)</f>
        <v>1.26</v>
      </c>
      <c r="H84" s="15" t="inlineStr">
        <is>
          <t>Em cubos de 2 cm, marinada 4 h.</t>
        </is>
      </c>
    </row>
    <row r="85">
      <c r="A85" s="33" t="inlineStr"/>
      <c r="B85" s="27" t="inlineStr">
        <is>
          <t>Ameijoa congelada</t>
        </is>
      </c>
      <c r="C85" s="11" t="n">
        <v>0.12</v>
      </c>
      <c r="D85" s="12" t="inlineStr">
        <is>
          <t>kg</t>
        </is>
      </c>
      <c r="E85" s="40" t="inlineStr">
        <is>
          <t>A CRIAR</t>
        </is>
      </c>
      <c r="F85" s="13" t="n">
        <v>7.5</v>
      </c>
      <c r="G85" s="35">
        <f>IFERROR(C85*F85,0)</f>
        <v>0.9</v>
      </c>
      <c r="H85" s="15" t="inlineStr">
        <is>
          <t>ITEM A CRIAR.</t>
        </is>
      </c>
    </row>
    <row r="86">
      <c r="A86" s="33" t="inlineStr"/>
      <c r="B86" s="15" t="inlineStr">
        <is>
          <t>Batata</t>
        </is>
      </c>
      <c r="C86" s="11" t="n">
        <v>0.15</v>
      </c>
      <c r="D86" s="12" t="inlineStr">
        <is>
          <t>kg</t>
        </is>
      </c>
      <c r="E86" s="34" t="inlineStr">
        <is>
          <t>stock</t>
        </is>
      </c>
      <c r="F86" s="13" t="n">
        <v>0.9</v>
      </c>
      <c r="G86" s="35">
        <f>IFERROR(C86*F86,0)</f>
        <v>0.135</v>
      </c>
      <c r="H86" s="15" t="inlineStr">
        <is>
          <t>Cubos fritos.</t>
        </is>
      </c>
    </row>
    <row r="87">
      <c r="A87" s="33" t="inlineStr"/>
      <c r="B87" s="27" t="inlineStr">
        <is>
          <t>Massa de pimentão</t>
        </is>
      </c>
      <c r="C87" s="11" t="n">
        <v>0.008</v>
      </c>
      <c r="D87" s="12" t="inlineStr">
        <is>
          <t>kg</t>
        </is>
      </c>
      <c r="E87" s="40" t="inlineStr">
        <is>
          <t>A CRIAR</t>
        </is>
      </c>
      <c r="F87" s="13" t="n">
        <v>6</v>
      </c>
      <c r="G87" s="35">
        <f>IFERROR(C87*F87,0)</f>
        <v>0.048</v>
      </c>
      <c r="H87" s="15" t="inlineStr">
        <is>
          <t>ITEM A CRIAR. Alternativa: Colorau, que já existe em stock.</t>
        </is>
      </c>
    </row>
    <row r="88">
      <c r="A88" s="33" t="inlineStr"/>
      <c r="B88" s="15" t="inlineStr">
        <is>
          <t>Vinho branco de cozinha</t>
        </is>
      </c>
      <c r="C88" s="11" t="n">
        <v>0.04</v>
      </c>
      <c r="D88" s="12" t="inlineStr">
        <is>
          <t>litro</t>
        </is>
      </c>
      <c r="E88" s="34" t="inlineStr">
        <is>
          <t>stock</t>
        </is>
      </c>
      <c r="F88" s="13" t="n">
        <v>1.4</v>
      </c>
      <c r="G88" s="35">
        <f>IFERROR(C88*F88,0)</f>
        <v>0.056</v>
      </c>
      <c r="H88" s="15" t="inlineStr">
        <is>
          <t>Marinada e deglaçar.</t>
        </is>
      </c>
    </row>
    <row r="89">
      <c r="A89" s="33" t="inlineStr"/>
      <c r="B89" s="15" t="inlineStr">
        <is>
          <t>Alho fresco</t>
        </is>
      </c>
      <c r="C89" s="11" t="n">
        <v>0.005</v>
      </c>
      <c r="D89" s="12" t="inlineStr">
        <is>
          <t>kg</t>
        </is>
      </c>
      <c r="E89" s="34" t="inlineStr">
        <is>
          <t>stock</t>
        </is>
      </c>
      <c r="F89" s="13" t="n">
        <v>3.5</v>
      </c>
      <c r="G89" s="35">
        <f>IFERROR(C89*F89,0)</f>
        <v>0.0175</v>
      </c>
      <c r="H89" s="15" t="inlineStr"/>
    </row>
    <row r="90">
      <c r="A90" s="33" t="inlineStr"/>
      <c r="B90" s="15" t="inlineStr">
        <is>
          <t>Coentros</t>
        </is>
      </c>
      <c r="C90" s="11" t="n">
        <v>0.1</v>
      </c>
      <c r="D90" s="12" t="inlineStr">
        <is>
          <t>unidade</t>
        </is>
      </c>
      <c r="E90" s="34" t="inlineStr">
        <is>
          <t>stock</t>
        </is>
      </c>
      <c r="F90" s="13" t="n">
        <v>0.8</v>
      </c>
      <c r="G90" s="35">
        <f>IFERROR(C90*F90,0)</f>
        <v>0.08</v>
      </c>
      <c r="H90" s="15" t="inlineStr"/>
    </row>
    <row r="91">
      <c r="A91" s="33" t="inlineStr"/>
      <c r="B91" s="15" t="inlineStr">
        <is>
          <t>Óleo de fritura (girassol)</t>
        </is>
      </c>
      <c r="C91" s="11" t="n">
        <v>0.015</v>
      </c>
      <c r="D91" s="12" t="inlineStr">
        <is>
          <t>litro</t>
        </is>
      </c>
      <c r="E91" s="34" t="inlineStr">
        <is>
          <t>stock</t>
        </is>
      </c>
      <c r="F91" s="13" t="n">
        <v>1.6</v>
      </c>
      <c r="G91" s="35">
        <f>IFERROR(C91*F91,0)</f>
        <v>0.024</v>
      </c>
      <c r="H91" s="15" t="inlineStr">
        <is>
          <t>Batata em cubos.</t>
        </is>
      </c>
    </row>
    <row r="92">
      <c r="A92" s="33" t="inlineStr"/>
      <c r="B92" s="15" t="inlineStr">
        <is>
          <t>Azeite virgem extra</t>
        </is>
      </c>
      <c r="C92" s="11" t="n">
        <v>0.005</v>
      </c>
      <c r="D92" s="12" t="inlineStr">
        <is>
          <t>unidade</t>
        </is>
      </c>
      <c r="E92" s="34" t="inlineStr">
        <is>
          <t>stock</t>
        </is>
      </c>
      <c r="F92" s="13" t="n">
        <v>5</v>
      </c>
      <c r="G92" s="35">
        <f>IFERROR(C92*F92,0)</f>
        <v>0.025</v>
      </c>
      <c r="H92" s="15" t="inlineStr"/>
    </row>
    <row r="93">
      <c r="A93" s="33" t="inlineStr"/>
      <c r="B93" s="15" t="inlineStr">
        <is>
          <t>Alface / mistura de salada</t>
        </is>
      </c>
      <c r="C93" s="11" t="n">
        <v>0.04</v>
      </c>
      <c r="D93" s="12" t="inlineStr">
        <is>
          <t>kg</t>
        </is>
      </c>
      <c r="E93" s="34" t="inlineStr">
        <is>
          <t>stock</t>
        </is>
      </c>
      <c r="F93" s="13" t="n">
        <v>3.5</v>
      </c>
      <c r="G93" s="35">
        <f>IFERROR(C93*F93,0)</f>
        <v>0.14</v>
      </c>
      <c r="H93" s="15" t="inlineStr">
        <is>
          <t>Prato já completo — leva apenas salada.</t>
        </is>
      </c>
    </row>
    <row r="94">
      <c r="A94" s="33" t="inlineStr"/>
      <c r="B94" s="15" t="inlineStr">
        <is>
          <t>Tomate fresco</t>
        </is>
      </c>
      <c r="C94" s="11" t="n">
        <v>0.015</v>
      </c>
      <c r="D94" s="12" t="inlineStr">
        <is>
          <t>kg</t>
        </is>
      </c>
      <c r="E94" s="34" t="inlineStr">
        <is>
          <t>stock</t>
        </is>
      </c>
      <c r="F94" s="13" t="n">
        <v>2.2</v>
      </c>
      <c r="G94" s="35">
        <f>IFERROR(C94*F94,0)</f>
        <v>0.033</v>
      </c>
      <c r="H94" s="15" t="inlineStr"/>
    </row>
    <row r="95">
      <c r="A95" s="33" t="inlineStr"/>
      <c r="B95" s="15" t="inlineStr">
        <is>
          <t>Azeite virgem extra</t>
        </is>
      </c>
      <c r="C95" s="11" t="n">
        <v>0.008</v>
      </c>
      <c r="D95" s="12" t="inlineStr">
        <is>
          <t>unidade</t>
        </is>
      </c>
      <c r="E95" s="34" t="inlineStr">
        <is>
          <t>stock</t>
        </is>
      </c>
      <c r="F95" s="13" t="n">
        <v>5</v>
      </c>
      <c r="G95" s="35">
        <f>IFERROR(C95*F95,0)</f>
        <v>0.04</v>
      </c>
      <c r="H95" s="15" t="inlineStr">
        <is>
          <t>Tempero da salada.</t>
        </is>
      </c>
    </row>
    <row r="96">
      <c r="A96" s="33" t="inlineStr"/>
      <c r="B96" s="15" t="inlineStr">
        <is>
          <t>Especiarias base (louro, alho em pó, pimenta preta, sal)</t>
        </is>
      </c>
      <c r="C96" s="11" t="n">
        <v>0.0005</v>
      </c>
      <c r="D96" s="12" t="inlineStr">
        <is>
          <t>pacote</t>
        </is>
      </c>
      <c r="E96" s="34" t="inlineStr">
        <is>
          <t>stock</t>
        </is>
      </c>
      <c r="F96" s="13" t="n">
        <v>18</v>
      </c>
      <c r="G96" s="35">
        <f>IFERROR(C96*F96,0)</f>
        <v>0.009</v>
      </c>
      <c r="H96" s="15" t="inlineStr">
        <is>
          <t>Rateio por dose.</t>
        </is>
      </c>
    </row>
    <row r="97">
      <c r="A97" s="36" t="n"/>
      <c r="B97" s="37" t="inlineStr">
        <is>
          <t>CUSTO TOTAL POR DOSE — Carne de Porco à Alentejana</t>
        </is>
      </c>
      <c r="C97" s="36" t="n"/>
      <c r="D97" s="36" t="n"/>
      <c r="E97" s="36" t="n"/>
      <c r="F97" s="36" t="n"/>
      <c r="G97" s="38">
        <f>SUM(G84:G96)</f>
        <v>2.7675</v>
      </c>
      <c r="H97" s="39" t="inlineStr">
        <is>
          <t>Já traz batata — não leva arroz nem feijão. Só salada.</t>
        </is>
      </c>
    </row>
    <row r="99">
      <c r="A99" s="33" t="inlineStr">
        <is>
          <t>Bacalhau a Gomes Sá</t>
        </is>
      </c>
      <c r="B99" s="27" t="inlineStr">
        <is>
          <t>Bacalhau em lascas demolhado</t>
        </is>
      </c>
      <c r="C99" s="11" t="n">
        <v>0.16</v>
      </c>
      <c r="D99" s="12" t="inlineStr">
        <is>
          <t>kg</t>
        </is>
      </c>
      <c r="E99" s="40" t="inlineStr">
        <is>
          <t>A CRIAR</t>
        </is>
      </c>
      <c r="F99" s="13" t="n">
        <v>14</v>
      </c>
      <c r="G99" s="35">
        <f>IFERROR(C99*F99,0)</f>
        <v>2.24</v>
      </c>
      <c r="H99" s="15" t="inlineStr">
        <is>
          <t>ITEM A CRIAR. O desfiado que está em stock não dá lasca.</t>
        </is>
      </c>
    </row>
    <row r="100">
      <c r="A100" s="33" t="inlineStr"/>
      <c r="B100" s="15" t="inlineStr">
        <is>
          <t>Batata</t>
        </is>
      </c>
      <c r="C100" s="11" t="n">
        <v>0.2</v>
      </c>
      <c r="D100" s="12" t="inlineStr">
        <is>
          <t>kg</t>
        </is>
      </c>
      <c r="E100" s="34" t="inlineStr">
        <is>
          <t>stock</t>
        </is>
      </c>
      <c r="F100" s="13" t="n">
        <v>0.9</v>
      </c>
      <c r="G100" s="35">
        <f>IFERROR(C100*F100,0)</f>
        <v>0.18</v>
      </c>
      <c r="H100" s="15" t="inlineStr">
        <is>
          <t>Em rodelas.</t>
        </is>
      </c>
    </row>
    <row r="101">
      <c r="A101" s="33" t="inlineStr"/>
      <c r="B101" s="15" t="inlineStr">
        <is>
          <t>Ovos</t>
        </is>
      </c>
      <c r="C101" s="11" t="n">
        <v>1</v>
      </c>
      <c r="D101" s="12" t="inlineStr">
        <is>
          <t>unidade</t>
        </is>
      </c>
      <c r="E101" s="34" t="inlineStr">
        <is>
          <t>stock</t>
        </is>
      </c>
      <c r="F101" s="13" t="n">
        <v>0.22</v>
      </c>
      <c r="G101" s="35">
        <f>IFERROR(C101*F101,0)</f>
        <v>0.22</v>
      </c>
      <c r="H101" s="15" t="inlineStr">
        <is>
          <t>Cozido, em rodelas.</t>
        </is>
      </c>
    </row>
    <row r="102">
      <c r="A102" s="33" t="inlineStr"/>
      <c r="B102" s="15" t="inlineStr">
        <is>
          <t>Cebola</t>
        </is>
      </c>
      <c r="C102" s="11" t="n">
        <v>1</v>
      </c>
      <c r="D102" s="12" t="inlineStr">
        <is>
          <t>unidade</t>
        </is>
      </c>
      <c r="E102" s="34" t="inlineStr">
        <is>
          <t>stock</t>
        </is>
      </c>
      <c r="F102" s="13" t="n">
        <v>0.18</v>
      </c>
      <c r="G102" s="35">
        <f>IFERROR(C102*F102,0)</f>
        <v>0.18</v>
      </c>
      <c r="H102" s="15" t="inlineStr"/>
    </row>
    <row r="103">
      <c r="A103" s="33" t="inlineStr"/>
      <c r="B103" s="27" t="inlineStr">
        <is>
          <t>Azeitonas</t>
        </is>
      </c>
      <c r="C103" s="11" t="n">
        <v>0.02</v>
      </c>
      <c r="D103" s="12" t="inlineStr">
        <is>
          <t>kg</t>
        </is>
      </c>
      <c r="E103" s="40" t="inlineStr">
        <is>
          <t>A CRIAR</t>
        </is>
      </c>
      <c r="F103" s="13" t="n">
        <v>5</v>
      </c>
      <c r="G103" s="35">
        <f>IFERROR(C103*F103,0)</f>
        <v>0.1</v>
      </c>
      <c r="H103" s="15" t="inlineStr">
        <is>
          <t>ITEM A CRIAR.</t>
        </is>
      </c>
    </row>
    <row r="104">
      <c r="A104" s="33" t="inlineStr"/>
      <c r="B104" s="15" t="inlineStr">
        <is>
          <t>Alho fresco</t>
        </is>
      </c>
      <c r="C104" s="11" t="n">
        <v>0.004</v>
      </c>
      <c r="D104" s="12" t="inlineStr">
        <is>
          <t>kg</t>
        </is>
      </c>
      <c r="E104" s="34" t="inlineStr">
        <is>
          <t>stock</t>
        </is>
      </c>
      <c r="F104" s="13" t="n">
        <v>3.5</v>
      </c>
      <c r="G104" s="35">
        <f>IFERROR(C104*F104,0)</f>
        <v>0.014</v>
      </c>
      <c r="H104" s="15" t="inlineStr"/>
    </row>
    <row r="105">
      <c r="A105" s="33" t="inlineStr"/>
      <c r="B105" s="15" t="inlineStr">
        <is>
          <t>Azeite virgem extra</t>
        </is>
      </c>
      <c r="C105" s="11" t="n">
        <v>0.02</v>
      </c>
      <c r="D105" s="12" t="inlineStr">
        <is>
          <t>unidade</t>
        </is>
      </c>
      <c r="E105" s="34" t="inlineStr">
        <is>
          <t>stock</t>
        </is>
      </c>
      <c r="F105" s="13" t="n">
        <v>5</v>
      </c>
      <c r="G105" s="35">
        <f>IFERROR(C105*F105,0)</f>
        <v>0.1</v>
      </c>
      <c r="H105" s="15" t="inlineStr">
        <is>
          <t>Prato generoso em azeite, por definição.</t>
        </is>
      </c>
    </row>
    <row r="106">
      <c r="A106" s="33" t="inlineStr"/>
      <c r="B106" s="15" t="inlineStr">
        <is>
          <t>Alface / mistura de salada</t>
        </is>
      </c>
      <c r="C106" s="11" t="n">
        <v>0.04</v>
      </c>
      <c r="D106" s="12" t="inlineStr">
        <is>
          <t>kg</t>
        </is>
      </c>
      <c r="E106" s="34" t="inlineStr">
        <is>
          <t>stock</t>
        </is>
      </c>
      <c r="F106" s="13" t="n">
        <v>3.5</v>
      </c>
      <c r="G106" s="35">
        <f>IFERROR(C106*F106,0)</f>
        <v>0.14</v>
      </c>
      <c r="H106" s="15" t="inlineStr">
        <is>
          <t>Prato já completo — leva apenas salada.</t>
        </is>
      </c>
    </row>
    <row r="107">
      <c r="A107" s="33" t="inlineStr"/>
      <c r="B107" s="15" t="inlineStr">
        <is>
          <t>Tomate fresco</t>
        </is>
      </c>
      <c r="C107" s="11" t="n">
        <v>0.015</v>
      </c>
      <c r="D107" s="12" t="inlineStr">
        <is>
          <t>kg</t>
        </is>
      </c>
      <c r="E107" s="34" t="inlineStr">
        <is>
          <t>stock</t>
        </is>
      </c>
      <c r="F107" s="13" t="n">
        <v>2.2</v>
      </c>
      <c r="G107" s="35">
        <f>IFERROR(C107*F107,0)</f>
        <v>0.033</v>
      </c>
      <c r="H107" s="15" t="inlineStr"/>
    </row>
    <row r="108">
      <c r="A108" s="33" t="inlineStr"/>
      <c r="B108" s="15" t="inlineStr">
        <is>
          <t>Azeite virgem extra</t>
        </is>
      </c>
      <c r="C108" s="11" t="n">
        <v>0.008</v>
      </c>
      <c r="D108" s="12" t="inlineStr">
        <is>
          <t>unidade</t>
        </is>
      </c>
      <c r="E108" s="34" t="inlineStr">
        <is>
          <t>stock</t>
        </is>
      </c>
      <c r="F108" s="13" t="n">
        <v>5</v>
      </c>
      <c r="G108" s="35">
        <f>IFERROR(C108*F108,0)</f>
        <v>0.04</v>
      </c>
      <c r="H108" s="15" t="inlineStr">
        <is>
          <t>Tempero da salada.</t>
        </is>
      </c>
    </row>
    <row r="109">
      <c r="A109" s="33" t="inlineStr"/>
      <c r="B109" s="15" t="inlineStr">
        <is>
          <t>Especiarias base (louro, alho em pó, pimenta preta, sal)</t>
        </is>
      </c>
      <c r="C109" s="11" t="n">
        <v>0.0005</v>
      </c>
      <c r="D109" s="12" t="inlineStr">
        <is>
          <t>pacote</t>
        </is>
      </c>
      <c r="E109" s="34" t="inlineStr">
        <is>
          <t>stock</t>
        </is>
      </c>
      <c r="F109" s="13" t="n">
        <v>18</v>
      </c>
      <c r="G109" s="35">
        <f>IFERROR(C109*F109,0)</f>
        <v>0.009</v>
      </c>
      <c r="H109" s="15" t="inlineStr">
        <is>
          <t>Rateio por dose.</t>
        </is>
      </c>
    </row>
    <row r="110">
      <c r="A110" s="36" t="n"/>
      <c r="B110" s="37" t="inlineStr">
        <is>
          <t>CUSTO TOTAL POR DOSE — Bacalhau a Gomes Sá</t>
        </is>
      </c>
      <c r="C110" s="36" t="n"/>
      <c r="D110" s="36" t="n"/>
      <c r="E110" s="36" t="n"/>
      <c r="F110" s="36" t="n"/>
      <c r="G110" s="38">
        <f>SUM(G99:G109)</f>
        <v>3.256</v>
      </c>
      <c r="H110" s="39" t="inlineStr">
        <is>
          <t>Prato completo. Só salada.</t>
        </is>
      </c>
    </row>
    <row r="112">
      <c r="A112" s="33" t="inlineStr">
        <is>
          <t>Frango Assado</t>
        </is>
      </c>
      <c r="B112" s="27" t="inlineStr">
        <is>
          <t>Frango inteiro</t>
        </is>
      </c>
      <c r="C112" s="11" t="n">
        <v>0.35</v>
      </c>
      <c r="D112" s="12" t="inlineStr">
        <is>
          <t>kg</t>
        </is>
      </c>
      <c r="E112" s="40" t="inlineStr">
        <is>
          <t>A CRIAR</t>
        </is>
      </c>
      <c r="F112" s="13" t="n">
        <v>3.2</v>
      </c>
      <c r="G112" s="35">
        <f>IFERROR(C112*F112,0)</f>
        <v>1.12</v>
      </c>
      <c r="H112" s="15" t="inlineStr">
        <is>
          <t>ITEM A CRIAR. Um quarto de frango por dose.</t>
        </is>
      </c>
    </row>
    <row r="113">
      <c r="A113" s="33" t="inlineStr"/>
      <c r="B113" s="15" t="inlineStr">
        <is>
          <t>Colorau</t>
        </is>
      </c>
      <c r="C113" s="11" t="n">
        <v>0.003</v>
      </c>
      <c r="D113" s="12" t="inlineStr">
        <is>
          <t>kg</t>
        </is>
      </c>
      <c r="E113" s="34" t="inlineStr">
        <is>
          <t>stock</t>
        </is>
      </c>
      <c r="F113" s="13" t="n">
        <v>6</v>
      </c>
      <c r="G113" s="35">
        <f>IFERROR(C113*F113,0)</f>
        <v>0.018</v>
      </c>
      <c r="H113" s="15" t="inlineStr">
        <is>
          <t>Tempero.</t>
        </is>
      </c>
    </row>
    <row r="114">
      <c r="A114" s="33" t="inlineStr"/>
      <c r="B114" s="15" t="inlineStr">
        <is>
          <t>Alho fresco</t>
        </is>
      </c>
      <c r="C114" s="11" t="n">
        <v>0.003</v>
      </c>
      <c r="D114" s="12" t="inlineStr">
        <is>
          <t>kg</t>
        </is>
      </c>
      <c r="E114" s="34" t="inlineStr">
        <is>
          <t>stock</t>
        </is>
      </c>
      <c r="F114" s="13" t="n">
        <v>3.5</v>
      </c>
      <c r="G114" s="35">
        <f>IFERROR(C114*F114,0)</f>
        <v>0.0105</v>
      </c>
      <c r="H114" s="15" t="inlineStr"/>
    </row>
    <row r="115">
      <c r="A115" s="33" t="inlineStr"/>
      <c r="B115" s="15" t="inlineStr">
        <is>
          <t>Azeite virgem extra</t>
        </is>
      </c>
      <c r="C115" s="11" t="n">
        <v>0.008</v>
      </c>
      <c r="D115" s="12" t="inlineStr">
        <is>
          <t>unidade</t>
        </is>
      </c>
      <c r="E115" s="34" t="inlineStr">
        <is>
          <t>stock</t>
        </is>
      </c>
      <c r="F115" s="13" t="n">
        <v>5</v>
      </c>
      <c r="G115" s="35">
        <f>IFERROR(C115*F115,0)</f>
        <v>0.04</v>
      </c>
      <c r="H115" s="15" t="inlineStr"/>
    </row>
    <row r="116">
      <c r="A116" s="33" t="inlineStr"/>
      <c r="B116" s="15" t="inlineStr">
        <is>
          <t>Arroz agulha</t>
        </is>
      </c>
      <c r="C116" s="11" t="n">
        <v>0.05</v>
      </c>
      <c r="D116" s="12" t="inlineStr">
        <is>
          <t>kg</t>
        </is>
      </c>
      <c r="E116" s="34" t="inlineStr">
        <is>
          <t>stock</t>
        </is>
      </c>
      <c r="F116" s="13" t="n">
        <v>1.1</v>
      </c>
      <c r="G116" s="35">
        <f>IFERROR(C116*F116,0)</f>
        <v>0.055</v>
      </c>
      <c r="H116" s="15" t="inlineStr">
        <is>
          <t>Peso SECO. Rende ~150 g de arroz cozido por dose.</t>
        </is>
      </c>
    </row>
    <row r="117">
      <c r="A117" s="33" t="inlineStr"/>
      <c r="B117" s="15" t="inlineStr">
        <is>
          <t>Feijão preto</t>
        </is>
      </c>
      <c r="C117" s="11" t="n">
        <v>0.048</v>
      </c>
      <c r="D117" s="12" t="inlineStr">
        <is>
          <t>kg</t>
        </is>
      </c>
      <c r="E117" s="34" t="inlineStr">
        <is>
          <t>stock</t>
        </is>
      </c>
      <c r="F117" s="13" t="n">
        <v>1.8</v>
      </c>
      <c r="G117" s="35">
        <f>IFERROR(C117*F117,0)</f>
        <v>0.0864</v>
      </c>
      <c r="H117" s="15" t="inlineStr">
        <is>
          <t>Peso SECO. Rende ~120 g de feijão cozido por dose.</t>
        </is>
      </c>
    </row>
    <row r="118">
      <c r="A118" s="33" t="inlineStr"/>
      <c r="B118" s="15" t="inlineStr">
        <is>
          <t>Farinha de mandioca (farofa)</t>
        </is>
      </c>
      <c r="C118" s="11" t="n">
        <v>0.022</v>
      </c>
      <c r="D118" s="12" t="inlineStr">
        <is>
          <t>kg</t>
        </is>
      </c>
      <c r="E118" s="34" t="inlineStr">
        <is>
          <t>stock</t>
        </is>
      </c>
      <c r="F118" s="13" t="n">
        <v>2.5</v>
      </c>
      <c r="G118" s="35">
        <f>IFERROR(C118*F118,0)</f>
        <v>0.055</v>
      </c>
      <c r="H118" s="15" t="inlineStr">
        <is>
          <t>Rende ~30 g de farofa pronta.</t>
        </is>
      </c>
    </row>
    <row r="119">
      <c r="A119" s="33" t="inlineStr"/>
      <c r="B119" s="15" t="inlineStr">
        <is>
          <t>Manteiga</t>
        </is>
      </c>
      <c r="C119" s="11" t="n">
        <v>0.17</v>
      </c>
      <c r="D119" s="12" t="inlineStr">
        <is>
          <t>porção</t>
        </is>
      </c>
      <c r="E119" s="34" t="inlineStr">
        <is>
          <t>stock</t>
        </is>
      </c>
      <c r="F119" s="13" t="n">
        <v>0.12</v>
      </c>
      <c r="G119" s="35">
        <f>IFERROR(C119*F119,0)</f>
        <v>0.0204</v>
      </c>
      <c r="H119" s="15" t="inlineStr">
        <is>
          <t>Componente da farofa. ATENÇÃO: unidade "porção" sem gramagem definida em stock.</t>
        </is>
      </c>
    </row>
    <row r="120">
      <c r="A120" s="33" t="inlineStr"/>
      <c r="B120" s="15" t="inlineStr">
        <is>
          <t>Alface / mistura de salada</t>
        </is>
      </c>
      <c r="C120" s="11" t="n">
        <v>0.04</v>
      </c>
      <c r="D120" s="12" t="inlineStr">
        <is>
          <t>kg</t>
        </is>
      </c>
      <c r="E120" s="34" t="inlineStr">
        <is>
          <t>stock</t>
        </is>
      </c>
      <c r="F120" s="13" t="n">
        <v>3.5</v>
      </c>
      <c r="G120" s="35">
        <f>IFERROR(C120*F120,0)</f>
        <v>0.14</v>
      </c>
      <c r="H120" s="15" t="inlineStr">
        <is>
          <t>Salada de acompanhamento.</t>
        </is>
      </c>
    </row>
    <row r="121">
      <c r="A121" s="33" t="inlineStr"/>
      <c r="B121" s="15" t="inlineStr">
        <is>
          <t>Tomate fresco</t>
        </is>
      </c>
      <c r="C121" s="11" t="n">
        <v>0.015</v>
      </c>
      <c r="D121" s="12" t="inlineStr">
        <is>
          <t>kg</t>
        </is>
      </c>
      <c r="E121" s="34" t="inlineStr">
        <is>
          <t>stock</t>
        </is>
      </c>
      <c r="F121" s="13" t="n">
        <v>2.2</v>
      </c>
      <c r="G121" s="35">
        <f>IFERROR(C121*F121,0)</f>
        <v>0.033</v>
      </c>
      <c r="H121" s="15" t="inlineStr">
        <is>
          <t>Salada de acompanhamento.</t>
        </is>
      </c>
    </row>
    <row r="122">
      <c r="A122" s="33" t="inlineStr"/>
      <c r="B122" s="15" t="inlineStr">
        <is>
          <t>Cebola</t>
        </is>
      </c>
      <c r="C122" s="11" t="n">
        <v>0.1</v>
      </c>
      <c r="D122" s="12" t="inlineStr">
        <is>
          <t>unidade</t>
        </is>
      </c>
      <c r="E122" s="34" t="inlineStr">
        <is>
          <t>stock</t>
        </is>
      </c>
      <c r="F122" s="13" t="n">
        <v>0.18</v>
      </c>
      <c r="G122" s="35">
        <f>IFERROR(C122*F122,0)</f>
        <v>0.018</v>
      </c>
      <c r="H122" s="15" t="inlineStr">
        <is>
          <t>Refogado do arroz e da farofa.</t>
        </is>
      </c>
    </row>
    <row r="123">
      <c r="A123" s="33" t="inlineStr"/>
      <c r="B123" s="15" t="inlineStr">
        <is>
          <t>Alho fresco</t>
        </is>
      </c>
      <c r="C123" s="11" t="n">
        <v>0.002</v>
      </c>
      <c r="D123" s="12" t="inlineStr">
        <is>
          <t>kg</t>
        </is>
      </c>
      <c r="E123" s="34" t="inlineStr">
        <is>
          <t>stock</t>
        </is>
      </c>
      <c r="F123" s="13" t="n">
        <v>3.5</v>
      </c>
      <c r="G123" s="35">
        <f>IFERROR(C123*F123,0)</f>
        <v>0.007</v>
      </c>
      <c r="H123" s="15" t="inlineStr">
        <is>
          <t>Refogado do arroz e da farofa.</t>
        </is>
      </c>
    </row>
    <row r="124">
      <c r="A124" s="33" t="inlineStr"/>
      <c r="B124" s="15" t="inlineStr">
        <is>
          <t>Azeite virgem extra</t>
        </is>
      </c>
      <c r="C124" s="11" t="n">
        <v>0.02</v>
      </c>
      <c r="D124" s="12" t="inlineStr">
        <is>
          <t>unidade</t>
        </is>
      </c>
      <c r="E124" s="34" t="inlineStr">
        <is>
          <t>stock</t>
        </is>
      </c>
      <c r="F124" s="13" t="n">
        <v>5</v>
      </c>
      <c r="G124" s="35">
        <f>IFERROR(C124*F124,0)</f>
        <v>0.1</v>
      </c>
      <c r="H124" s="15" t="inlineStr">
        <is>
          <t>Refogados e tempero da salada. ATENÇÃO: unidade "unidade" a 5,00 € — confirmar se é garrafa de 1 L.</t>
        </is>
      </c>
    </row>
    <row r="125">
      <c r="A125" s="33" t="inlineStr"/>
      <c r="B125" s="15" t="inlineStr">
        <is>
          <t>Especiarias base (louro, alho em pó, pimenta preta, sal)</t>
        </is>
      </c>
      <c r="C125" s="11" t="n">
        <v>0.001</v>
      </c>
      <c r="D125" s="12" t="inlineStr">
        <is>
          <t>pacote</t>
        </is>
      </c>
      <c r="E125" s="34" t="inlineStr">
        <is>
          <t>stock</t>
        </is>
      </c>
      <c r="F125" s="13" t="n">
        <v>18</v>
      </c>
      <c r="G125" s="35">
        <f>IFERROR(C125*F125,0)</f>
        <v>0.018</v>
      </c>
      <c r="H125" s="15" t="inlineStr">
        <is>
          <t>Rateio por dose.</t>
        </is>
      </c>
    </row>
    <row r="126">
      <c r="A126" s="36" t="n"/>
      <c r="B126" s="37" t="inlineStr">
        <is>
          <t>CUSTO TOTAL POR DOSE — Frango Assado</t>
        </is>
      </c>
      <c r="C126" s="36" t="n"/>
      <c r="D126" s="36" t="n"/>
      <c r="E126" s="36" t="n"/>
      <c r="F126" s="36" t="n"/>
      <c r="G126" s="38">
        <f>SUM(G112:G125)</f>
        <v>1.7213</v>
      </c>
      <c r="H126" s="39" t="inlineStr">
        <is>
          <t>O PF de menor food cost da carta.</t>
        </is>
      </c>
    </row>
    <row r="128">
      <c r="A128" s="33" t="inlineStr">
        <is>
          <t>Maminha na Chapa</t>
        </is>
      </c>
      <c r="B128" s="27" t="inlineStr">
        <is>
          <t>Maminha de vaca</t>
        </is>
      </c>
      <c r="C128" s="11" t="n">
        <v>0.2</v>
      </c>
      <c r="D128" s="12" t="inlineStr">
        <is>
          <t>kg</t>
        </is>
      </c>
      <c r="E128" s="40" t="inlineStr">
        <is>
          <t>A CRIAR</t>
        </is>
      </c>
      <c r="F128" s="13" t="n">
        <v>15.5</v>
      </c>
      <c r="G128" s="35">
        <f>IFERROR(C128*F128,0)</f>
        <v>3.1</v>
      </c>
      <c r="H128" s="15" t="inlineStr">
        <is>
          <t>ITEM A CRIAR. Se não houver na Makro, alternativa é alcatra.</t>
        </is>
      </c>
    </row>
    <row r="129">
      <c r="A129" s="33" t="inlineStr"/>
      <c r="B129" s="15" t="inlineStr">
        <is>
          <t>Azeite virgem extra</t>
        </is>
      </c>
      <c r="C129" s="11" t="n">
        <v>0.005</v>
      </c>
      <c r="D129" s="12" t="inlineStr">
        <is>
          <t>unidade</t>
        </is>
      </c>
      <c r="E129" s="34" t="inlineStr">
        <is>
          <t>stock</t>
        </is>
      </c>
      <c r="F129" s="13" t="n">
        <v>5</v>
      </c>
      <c r="G129" s="35">
        <f>IFERROR(C129*F129,0)</f>
        <v>0.025</v>
      </c>
      <c r="H129" s="15" t="inlineStr"/>
    </row>
    <row r="130">
      <c r="A130" s="33" t="inlineStr"/>
      <c r="B130" s="15" t="inlineStr">
        <is>
          <t>Especiarias base (louro, alho em pó, pimenta preta, sal)</t>
        </is>
      </c>
      <c r="C130" s="11" t="n">
        <v>0.001</v>
      </c>
      <c r="D130" s="12" t="inlineStr">
        <is>
          <t>pacote</t>
        </is>
      </c>
      <c r="E130" s="34" t="inlineStr">
        <is>
          <t>stock</t>
        </is>
      </c>
      <c r="F130" s="13" t="n">
        <v>18</v>
      </c>
      <c r="G130" s="35">
        <f>IFERROR(C130*F130,0)</f>
        <v>0.018</v>
      </c>
      <c r="H130" s="15" t="inlineStr">
        <is>
          <t>Sal grosso.</t>
        </is>
      </c>
    </row>
    <row r="131">
      <c r="A131" s="33" t="inlineStr"/>
      <c r="B131" s="15" t="inlineStr">
        <is>
          <t>Arroz agulha</t>
        </is>
      </c>
      <c r="C131" s="11" t="n">
        <v>0.05</v>
      </c>
      <c r="D131" s="12" t="inlineStr">
        <is>
          <t>kg</t>
        </is>
      </c>
      <c r="E131" s="34" t="inlineStr">
        <is>
          <t>stock</t>
        </is>
      </c>
      <c r="F131" s="13" t="n">
        <v>1.1</v>
      </c>
      <c r="G131" s="35">
        <f>IFERROR(C131*F131,0)</f>
        <v>0.055</v>
      </c>
      <c r="H131" s="15" t="inlineStr">
        <is>
          <t>Peso SECO. Rende ~150 g de arroz cozido por dose.</t>
        </is>
      </c>
    </row>
    <row r="132">
      <c r="A132" s="33" t="inlineStr"/>
      <c r="B132" s="15" t="inlineStr">
        <is>
          <t>Feijão preto</t>
        </is>
      </c>
      <c r="C132" s="11" t="n">
        <v>0.048</v>
      </c>
      <c r="D132" s="12" t="inlineStr">
        <is>
          <t>kg</t>
        </is>
      </c>
      <c r="E132" s="34" t="inlineStr">
        <is>
          <t>stock</t>
        </is>
      </c>
      <c r="F132" s="13" t="n">
        <v>1.8</v>
      </c>
      <c r="G132" s="35">
        <f>IFERROR(C132*F132,0)</f>
        <v>0.0864</v>
      </c>
      <c r="H132" s="15" t="inlineStr">
        <is>
          <t>Peso SECO. Rende ~120 g de feijão cozido por dose.</t>
        </is>
      </c>
    </row>
    <row r="133">
      <c r="A133" s="33" t="inlineStr"/>
      <c r="B133" s="15" t="inlineStr">
        <is>
          <t>Farinha de mandioca (farofa)</t>
        </is>
      </c>
      <c r="C133" s="11" t="n">
        <v>0.022</v>
      </c>
      <c r="D133" s="12" t="inlineStr">
        <is>
          <t>kg</t>
        </is>
      </c>
      <c r="E133" s="34" t="inlineStr">
        <is>
          <t>stock</t>
        </is>
      </c>
      <c r="F133" s="13" t="n">
        <v>2.5</v>
      </c>
      <c r="G133" s="35">
        <f>IFERROR(C133*F133,0)</f>
        <v>0.055</v>
      </c>
      <c r="H133" s="15" t="inlineStr">
        <is>
          <t>Rende ~30 g de farofa pronta.</t>
        </is>
      </c>
    </row>
    <row r="134">
      <c r="A134" s="33" t="inlineStr"/>
      <c r="B134" s="15" t="inlineStr">
        <is>
          <t>Manteiga</t>
        </is>
      </c>
      <c r="C134" s="11" t="n">
        <v>0.17</v>
      </c>
      <c r="D134" s="12" t="inlineStr">
        <is>
          <t>porção</t>
        </is>
      </c>
      <c r="E134" s="34" t="inlineStr">
        <is>
          <t>stock</t>
        </is>
      </c>
      <c r="F134" s="13" t="n">
        <v>0.12</v>
      </c>
      <c r="G134" s="35">
        <f>IFERROR(C134*F134,0)</f>
        <v>0.0204</v>
      </c>
      <c r="H134" s="15" t="inlineStr">
        <is>
          <t>Componente da farofa. ATENÇÃO: unidade "porção" sem gramagem definida em stock.</t>
        </is>
      </c>
    </row>
    <row r="135">
      <c r="A135" s="33" t="inlineStr"/>
      <c r="B135" s="15" t="inlineStr">
        <is>
          <t>Alface / mistura de salada</t>
        </is>
      </c>
      <c r="C135" s="11" t="n">
        <v>0.04</v>
      </c>
      <c r="D135" s="12" t="inlineStr">
        <is>
          <t>kg</t>
        </is>
      </c>
      <c r="E135" s="34" t="inlineStr">
        <is>
          <t>stock</t>
        </is>
      </c>
      <c r="F135" s="13" t="n">
        <v>3.5</v>
      </c>
      <c r="G135" s="35">
        <f>IFERROR(C135*F135,0)</f>
        <v>0.14</v>
      </c>
      <c r="H135" s="15" t="inlineStr">
        <is>
          <t>Salada de acompanhamento.</t>
        </is>
      </c>
    </row>
    <row r="136">
      <c r="A136" s="33" t="inlineStr"/>
      <c r="B136" s="15" t="inlineStr">
        <is>
          <t>Tomate fresco</t>
        </is>
      </c>
      <c r="C136" s="11" t="n">
        <v>0.015</v>
      </c>
      <c r="D136" s="12" t="inlineStr">
        <is>
          <t>kg</t>
        </is>
      </c>
      <c r="E136" s="34" t="inlineStr">
        <is>
          <t>stock</t>
        </is>
      </c>
      <c r="F136" s="13" t="n">
        <v>2.2</v>
      </c>
      <c r="G136" s="35">
        <f>IFERROR(C136*F136,0)</f>
        <v>0.033</v>
      </c>
      <c r="H136" s="15" t="inlineStr">
        <is>
          <t>Salada de acompanhamento.</t>
        </is>
      </c>
    </row>
    <row r="137">
      <c r="A137" s="33" t="inlineStr"/>
      <c r="B137" s="15" t="inlineStr">
        <is>
          <t>Cebola</t>
        </is>
      </c>
      <c r="C137" s="11" t="n">
        <v>0.1</v>
      </c>
      <c r="D137" s="12" t="inlineStr">
        <is>
          <t>unidade</t>
        </is>
      </c>
      <c r="E137" s="34" t="inlineStr">
        <is>
          <t>stock</t>
        </is>
      </c>
      <c r="F137" s="13" t="n">
        <v>0.18</v>
      </c>
      <c r="G137" s="35">
        <f>IFERROR(C137*F137,0)</f>
        <v>0.018</v>
      </c>
      <c r="H137" s="15" t="inlineStr">
        <is>
          <t>Refogado do arroz e da farofa.</t>
        </is>
      </c>
    </row>
    <row r="138">
      <c r="A138" s="33" t="inlineStr"/>
      <c r="B138" s="15" t="inlineStr">
        <is>
          <t>Alho fresco</t>
        </is>
      </c>
      <c r="C138" s="11" t="n">
        <v>0.002</v>
      </c>
      <c r="D138" s="12" t="inlineStr">
        <is>
          <t>kg</t>
        </is>
      </c>
      <c r="E138" s="34" t="inlineStr">
        <is>
          <t>stock</t>
        </is>
      </c>
      <c r="F138" s="13" t="n">
        <v>3.5</v>
      </c>
      <c r="G138" s="35">
        <f>IFERROR(C138*F138,0)</f>
        <v>0.007</v>
      </c>
      <c r="H138" s="15" t="inlineStr">
        <is>
          <t>Refogado do arroz e da farofa.</t>
        </is>
      </c>
    </row>
    <row r="139">
      <c r="A139" s="33" t="inlineStr"/>
      <c r="B139" s="15" t="inlineStr">
        <is>
          <t>Azeite virgem extra</t>
        </is>
      </c>
      <c r="C139" s="11" t="n">
        <v>0.02</v>
      </c>
      <c r="D139" s="12" t="inlineStr">
        <is>
          <t>unidade</t>
        </is>
      </c>
      <c r="E139" s="34" t="inlineStr">
        <is>
          <t>stock</t>
        </is>
      </c>
      <c r="F139" s="13" t="n">
        <v>5</v>
      </c>
      <c r="G139" s="35">
        <f>IFERROR(C139*F139,0)</f>
        <v>0.1</v>
      </c>
      <c r="H139" s="15" t="inlineStr">
        <is>
          <t>Refogados e tempero da salada. ATENÇÃO: unidade "unidade" a 5,00 € — confirmar se é garrafa de 1 L.</t>
        </is>
      </c>
    </row>
    <row r="140">
      <c r="A140" s="33" t="inlineStr"/>
      <c r="B140" s="15" t="inlineStr">
        <is>
          <t>Especiarias base (louro, alho em pó, pimenta preta, sal)</t>
        </is>
      </c>
      <c r="C140" s="11" t="n">
        <v>0.001</v>
      </c>
      <c r="D140" s="12" t="inlineStr">
        <is>
          <t>pacote</t>
        </is>
      </c>
      <c r="E140" s="34" t="inlineStr">
        <is>
          <t>stock</t>
        </is>
      </c>
      <c r="F140" s="13" t="n">
        <v>18</v>
      </c>
      <c r="G140" s="35">
        <f>IFERROR(C140*F140,0)</f>
        <v>0.018</v>
      </c>
      <c r="H140" s="15" t="inlineStr">
        <is>
          <t>Rateio por dose.</t>
        </is>
      </c>
    </row>
    <row r="141">
      <c r="A141" s="36" t="n"/>
      <c r="B141" s="37" t="inlineStr">
        <is>
          <t>CUSTO TOTAL POR DOSE — Maminha na Chapa</t>
        </is>
      </c>
      <c r="C141" s="36" t="n"/>
      <c r="D141" s="36" t="n"/>
      <c r="E141" s="36" t="n"/>
      <c r="F141" s="36" t="n"/>
      <c r="G141" s="38">
        <f>SUM(G128:G140)</f>
        <v>3.6758</v>
      </c>
      <c r="H141" s="39" t="inlineStr">
        <is>
          <t>É o PF mais caro em matéria-prima.</t>
        </is>
      </c>
    </row>
    <row r="143">
      <c r="A143" s="33" t="inlineStr">
        <is>
          <t>Bacalhau com Natas</t>
        </is>
      </c>
      <c r="B143" s="15" t="inlineStr">
        <is>
          <t>Bacalhau desfiado demolhado congelado</t>
        </is>
      </c>
      <c r="C143" s="11" t="n">
        <v>0.15</v>
      </c>
      <c r="D143" s="12" t="inlineStr">
        <is>
          <t>kg</t>
        </is>
      </c>
      <c r="E143" s="34" t="inlineStr">
        <is>
          <t>stock</t>
        </is>
      </c>
      <c r="F143" s="13" t="n">
        <v>12</v>
      </c>
      <c r="G143" s="35">
        <f>IFERROR(C143*F143,0)</f>
        <v>1.8</v>
      </c>
      <c r="H143" s="15" t="inlineStr"/>
    </row>
    <row r="144">
      <c r="A144" s="33" t="inlineStr"/>
      <c r="B144" s="15" t="inlineStr">
        <is>
          <t>Batata</t>
        </is>
      </c>
      <c r="C144" s="11" t="n">
        <v>0.2</v>
      </c>
      <c r="D144" s="12" t="inlineStr">
        <is>
          <t>kg</t>
        </is>
      </c>
      <c r="E144" s="34" t="inlineStr">
        <is>
          <t>stock</t>
        </is>
      </c>
      <c r="F144" s="13" t="n">
        <v>0.9</v>
      </c>
      <c r="G144" s="35">
        <f>IFERROR(C144*F144,0)</f>
        <v>0.18</v>
      </c>
      <c r="H144" s="15" t="inlineStr">
        <is>
          <t>Em palitos, fritos.</t>
        </is>
      </c>
    </row>
    <row r="145">
      <c r="A145" s="33" t="inlineStr"/>
      <c r="B145" s="15" t="inlineStr">
        <is>
          <t>Natas</t>
        </is>
      </c>
      <c r="C145" s="11" t="n">
        <v>0.1</v>
      </c>
      <c r="D145" s="12" t="inlineStr">
        <is>
          <t>litro</t>
        </is>
      </c>
      <c r="E145" s="34" t="inlineStr">
        <is>
          <t>stock</t>
        </is>
      </c>
      <c r="F145" s="13" t="n">
        <v>4.5</v>
      </c>
      <c r="G145" s="35">
        <f>IFERROR(C145*F145,0)</f>
        <v>0.45</v>
      </c>
      <c r="H145" s="15" t="inlineStr"/>
    </row>
    <row r="146">
      <c r="A146" s="33" t="inlineStr"/>
      <c r="B146" s="15" t="inlineStr">
        <is>
          <t>Leite</t>
        </is>
      </c>
      <c r="C146" s="11" t="n">
        <v>0.05</v>
      </c>
      <c r="D146" s="12" t="inlineStr">
        <is>
          <t>litro</t>
        </is>
      </c>
      <c r="E146" s="34" t="inlineStr">
        <is>
          <t>stock</t>
        </is>
      </c>
      <c r="F146" s="13" t="n">
        <v>0.85</v>
      </c>
      <c r="G146" s="35">
        <f>IFERROR(C146*F146,0)</f>
        <v>0.0425</v>
      </c>
      <c r="H146" s="15" t="inlineStr">
        <is>
          <t>Bechamel.</t>
        </is>
      </c>
    </row>
    <row r="147">
      <c r="A147" s="33" t="inlineStr"/>
      <c r="B147" s="15" t="inlineStr">
        <is>
          <t>Farinha de trigo</t>
        </is>
      </c>
      <c r="C147" s="11" t="n">
        <v>0.015</v>
      </c>
      <c r="D147" s="12" t="inlineStr">
        <is>
          <t>kg</t>
        </is>
      </c>
      <c r="E147" s="34" t="inlineStr">
        <is>
          <t>stock</t>
        </is>
      </c>
      <c r="F147" s="13" t="n">
        <v>0.9</v>
      </c>
      <c r="G147" s="35">
        <f>IFERROR(C147*F147,0)</f>
        <v>0.0135</v>
      </c>
      <c r="H147" s="15" t="inlineStr">
        <is>
          <t>Bechamel.</t>
        </is>
      </c>
    </row>
    <row r="148">
      <c r="A148" s="33" t="inlineStr"/>
      <c r="B148" s="15" t="inlineStr">
        <is>
          <t>Manteiga</t>
        </is>
      </c>
      <c r="C148" s="11" t="n">
        <v>0.2</v>
      </c>
      <c r="D148" s="12" t="inlineStr">
        <is>
          <t>porção</t>
        </is>
      </c>
      <c r="E148" s="34" t="inlineStr">
        <is>
          <t>stock</t>
        </is>
      </c>
      <c r="F148" s="13" t="n">
        <v>0.12</v>
      </c>
      <c r="G148" s="35">
        <f>IFERROR(C148*F148,0)</f>
        <v>0.024</v>
      </c>
      <c r="H148" s="15" t="inlineStr">
        <is>
          <t>Bechamel. Unidade "porção" sem gramagem.</t>
        </is>
      </c>
    </row>
    <row r="149">
      <c r="A149" s="33" t="inlineStr"/>
      <c r="B149" s="15" t="inlineStr">
        <is>
          <t>Cebola</t>
        </is>
      </c>
      <c r="C149" s="11" t="n">
        <v>0.5</v>
      </c>
      <c r="D149" s="12" t="inlineStr">
        <is>
          <t>unidade</t>
        </is>
      </c>
      <c r="E149" s="34" t="inlineStr">
        <is>
          <t>stock</t>
        </is>
      </c>
      <c r="F149" s="13" t="n">
        <v>0.18</v>
      </c>
      <c r="G149" s="35">
        <f>IFERROR(C149*F149,0)</f>
        <v>0.09</v>
      </c>
      <c r="H149" s="15" t="inlineStr"/>
    </row>
    <row r="150">
      <c r="A150" s="33" t="inlineStr"/>
      <c r="B150" s="15" t="inlineStr">
        <is>
          <t>Queijo</t>
        </is>
      </c>
      <c r="C150" s="11" t="n">
        <v>1</v>
      </c>
      <c r="D150" s="12" t="inlineStr">
        <is>
          <t>fatia</t>
        </is>
      </c>
      <c r="E150" s="34" t="inlineStr">
        <is>
          <t>stock</t>
        </is>
      </c>
      <c r="F150" s="13" t="n">
        <v>0.2</v>
      </c>
      <c r="G150" s="35">
        <f>IFERROR(C150*F150,0)</f>
        <v>0.2</v>
      </c>
      <c r="H150" s="15" t="inlineStr">
        <is>
          <t>Gratinar.</t>
        </is>
      </c>
    </row>
    <row r="151">
      <c r="A151" s="33" t="inlineStr"/>
      <c r="B151" s="15" t="inlineStr">
        <is>
          <t>Óleo de fritura (girassol)</t>
        </is>
      </c>
      <c r="C151" s="11" t="n">
        <v>0.015</v>
      </c>
      <c r="D151" s="12" t="inlineStr">
        <is>
          <t>litro</t>
        </is>
      </c>
      <c r="E151" s="34" t="inlineStr">
        <is>
          <t>stock</t>
        </is>
      </c>
      <c r="F151" s="13" t="n">
        <v>1.6</v>
      </c>
      <c r="G151" s="35">
        <f>IFERROR(C151*F151,0)</f>
        <v>0.024</v>
      </c>
      <c r="H151" s="15" t="inlineStr">
        <is>
          <t>Fritar a batata.</t>
        </is>
      </c>
    </row>
    <row r="152">
      <c r="A152" s="33" t="inlineStr"/>
      <c r="B152" s="15" t="inlineStr">
        <is>
          <t>Alface / mistura de salada</t>
        </is>
      </c>
      <c r="C152" s="11" t="n">
        <v>0.04</v>
      </c>
      <c r="D152" s="12" t="inlineStr">
        <is>
          <t>kg</t>
        </is>
      </c>
      <c r="E152" s="34" t="inlineStr">
        <is>
          <t>stock</t>
        </is>
      </c>
      <c r="F152" s="13" t="n">
        <v>3.5</v>
      </c>
      <c r="G152" s="35">
        <f>IFERROR(C152*F152,0)</f>
        <v>0.14</v>
      </c>
      <c r="H152" s="15" t="inlineStr">
        <is>
          <t>Prato já completo — leva apenas salada.</t>
        </is>
      </c>
    </row>
    <row r="153">
      <c r="A153" s="33" t="inlineStr"/>
      <c r="B153" s="15" t="inlineStr">
        <is>
          <t>Tomate fresco</t>
        </is>
      </c>
      <c r="C153" s="11" t="n">
        <v>0.015</v>
      </c>
      <c r="D153" s="12" t="inlineStr">
        <is>
          <t>kg</t>
        </is>
      </c>
      <c r="E153" s="34" t="inlineStr">
        <is>
          <t>stock</t>
        </is>
      </c>
      <c r="F153" s="13" t="n">
        <v>2.2</v>
      </c>
      <c r="G153" s="35">
        <f>IFERROR(C153*F153,0)</f>
        <v>0.033</v>
      </c>
      <c r="H153" s="15" t="inlineStr"/>
    </row>
    <row r="154">
      <c r="A154" s="33" t="inlineStr"/>
      <c r="B154" s="15" t="inlineStr">
        <is>
          <t>Azeite virgem extra</t>
        </is>
      </c>
      <c r="C154" s="11" t="n">
        <v>0.008</v>
      </c>
      <c r="D154" s="12" t="inlineStr">
        <is>
          <t>unidade</t>
        </is>
      </c>
      <c r="E154" s="34" t="inlineStr">
        <is>
          <t>stock</t>
        </is>
      </c>
      <c r="F154" s="13" t="n">
        <v>5</v>
      </c>
      <c r="G154" s="35">
        <f>IFERROR(C154*F154,0)</f>
        <v>0.04</v>
      </c>
      <c r="H154" s="15" t="inlineStr">
        <is>
          <t>Tempero da salada.</t>
        </is>
      </c>
    </row>
    <row r="155">
      <c r="A155" s="33" t="inlineStr"/>
      <c r="B155" s="15" t="inlineStr">
        <is>
          <t>Especiarias base (louro, alho em pó, pimenta preta, sal)</t>
        </is>
      </c>
      <c r="C155" s="11" t="n">
        <v>0.0005</v>
      </c>
      <c r="D155" s="12" t="inlineStr">
        <is>
          <t>pacote</t>
        </is>
      </c>
      <c r="E155" s="34" t="inlineStr">
        <is>
          <t>stock</t>
        </is>
      </c>
      <c r="F155" s="13" t="n">
        <v>18</v>
      </c>
      <c r="G155" s="35">
        <f>IFERROR(C155*F155,0)</f>
        <v>0.009</v>
      </c>
      <c r="H155" s="15" t="inlineStr">
        <is>
          <t>Rateio por dose.</t>
        </is>
      </c>
    </row>
    <row r="156">
      <c r="A156" s="36" t="n"/>
      <c r="B156" s="37" t="inlineStr">
        <is>
          <t>CUSTO TOTAL POR DOSE — Bacalhau com Natas</t>
        </is>
      </c>
      <c r="C156" s="36" t="n"/>
      <c r="D156" s="36" t="n"/>
      <c r="E156" s="36" t="n"/>
      <c r="F156" s="36" t="n"/>
      <c r="G156" s="38">
        <f>SUM(G143:G155)</f>
        <v>3.046</v>
      </c>
      <c r="H156" s="39" t="inlineStr">
        <is>
          <t>Prato completo e gratinado. Só salada.</t>
        </is>
      </c>
    </row>
    <row r="158">
      <c r="A158" s="33" t="inlineStr">
        <is>
          <t>Carne de Panela</t>
        </is>
      </c>
      <c r="B158" s="27" t="inlineStr">
        <is>
          <t>Carne de vaca para estufar (chã de fora)</t>
        </is>
      </c>
      <c r="C158" s="11" t="n">
        <v>0.2</v>
      </c>
      <c r="D158" s="12" t="inlineStr">
        <is>
          <t>kg</t>
        </is>
      </c>
      <c r="E158" s="40" t="inlineStr">
        <is>
          <t>A CRIAR</t>
        </is>
      </c>
      <c r="F158" s="13" t="n">
        <v>9.5</v>
      </c>
      <c r="G158" s="35">
        <f>IFERROR(C158*F158,0)</f>
        <v>1.9</v>
      </c>
      <c r="H158" s="15" t="inlineStr">
        <is>
          <t>ITEM A CRIAR. O acém/vazia em stock é corte de bife, não serve para estufar.</t>
        </is>
      </c>
    </row>
    <row r="159">
      <c r="A159" s="33" t="inlineStr"/>
      <c r="B159" s="15" t="inlineStr">
        <is>
          <t>Cebola</t>
        </is>
      </c>
      <c r="C159" s="11" t="n">
        <v>1</v>
      </c>
      <c r="D159" s="12" t="inlineStr">
        <is>
          <t>unidade</t>
        </is>
      </c>
      <c r="E159" s="34" t="inlineStr">
        <is>
          <t>stock</t>
        </is>
      </c>
      <c r="F159" s="13" t="n">
        <v>0.18</v>
      </c>
      <c r="G159" s="35">
        <f>IFERROR(C159*F159,0)</f>
        <v>0.18</v>
      </c>
      <c r="H159" s="15" t="inlineStr"/>
    </row>
    <row r="160">
      <c r="A160" s="33" t="inlineStr"/>
      <c r="B160" s="15" t="inlineStr">
        <is>
          <t>Tomate pelado</t>
        </is>
      </c>
      <c r="C160" s="11" t="n">
        <v>0.08</v>
      </c>
      <c r="D160" s="12" t="inlineStr">
        <is>
          <t>kg</t>
        </is>
      </c>
      <c r="E160" s="34" t="inlineStr">
        <is>
          <t>stock</t>
        </is>
      </c>
      <c r="F160" s="13" t="n">
        <v>1.5</v>
      </c>
      <c r="G160" s="35">
        <f>IFERROR(C160*F160,0)</f>
        <v>0.12</v>
      </c>
      <c r="H160" s="15" t="inlineStr"/>
    </row>
    <row r="161">
      <c r="A161" s="33" t="inlineStr"/>
      <c r="B161" s="15" t="inlineStr">
        <is>
          <t>Vinho branco de cozinha</t>
        </is>
      </c>
      <c r="C161" s="11" t="n">
        <v>0.04</v>
      </c>
      <c r="D161" s="12" t="inlineStr">
        <is>
          <t>litro</t>
        </is>
      </c>
      <c r="E161" s="34" t="inlineStr">
        <is>
          <t>stock</t>
        </is>
      </c>
      <c r="F161" s="13" t="n">
        <v>1.4</v>
      </c>
      <c r="G161" s="35">
        <f>IFERROR(C161*F161,0)</f>
        <v>0.056</v>
      </c>
      <c r="H161" s="15" t="inlineStr"/>
    </row>
    <row r="162">
      <c r="A162" s="33" t="inlineStr"/>
      <c r="B162" s="15" t="inlineStr">
        <is>
          <t>Alho fresco</t>
        </is>
      </c>
      <c r="C162" s="11" t="n">
        <v>0.004</v>
      </c>
      <c r="D162" s="12" t="inlineStr">
        <is>
          <t>kg</t>
        </is>
      </c>
      <c r="E162" s="34" t="inlineStr">
        <is>
          <t>stock</t>
        </is>
      </c>
      <c r="F162" s="13" t="n">
        <v>3.5</v>
      </c>
      <c r="G162" s="35">
        <f>IFERROR(C162*F162,0)</f>
        <v>0.014</v>
      </c>
      <c r="H162" s="15" t="inlineStr"/>
    </row>
    <row r="163">
      <c r="A163" s="33" t="inlineStr"/>
      <c r="B163" s="15" t="inlineStr">
        <is>
          <t>Azeite virgem extra</t>
        </is>
      </c>
      <c r="C163" s="11" t="n">
        <v>0.008</v>
      </c>
      <c r="D163" s="12" t="inlineStr">
        <is>
          <t>unidade</t>
        </is>
      </c>
      <c r="E163" s="34" t="inlineStr">
        <is>
          <t>stock</t>
        </is>
      </c>
      <c r="F163" s="13" t="n">
        <v>5</v>
      </c>
      <c r="G163" s="35">
        <f>IFERROR(C163*F163,0)</f>
        <v>0.04</v>
      </c>
      <c r="H163" s="15" t="inlineStr"/>
    </row>
    <row r="164">
      <c r="A164" s="33" t="inlineStr"/>
      <c r="B164" s="15" t="inlineStr">
        <is>
          <t>Arroz agulha</t>
        </is>
      </c>
      <c r="C164" s="11" t="n">
        <v>0.05</v>
      </c>
      <c r="D164" s="12" t="inlineStr">
        <is>
          <t>kg</t>
        </is>
      </c>
      <c r="E164" s="34" t="inlineStr">
        <is>
          <t>stock</t>
        </is>
      </c>
      <c r="F164" s="13" t="n">
        <v>1.1</v>
      </c>
      <c r="G164" s="35">
        <f>IFERROR(C164*F164,0)</f>
        <v>0.055</v>
      </c>
      <c r="H164" s="15" t="inlineStr">
        <is>
          <t>Peso SECO. Rende ~150 g de arroz cozido por dose.</t>
        </is>
      </c>
    </row>
    <row r="165">
      <c r="A165" s="33" t="inlineStr"/>
      <c r="B165" s="15" t="inlineStr">
        <is>
          <t>Feijão preto</t>
        </is>
      </c>
      <c r="C165" s="11" t="n">
        <v>0.048</v>
      </c>
      <c r="D165" s="12" t="inlineStr">
        <is>
          <t>kg</t>
        </is>
      </c>
      <c r="E165" s="34" t="inlineStr">
        <is>
          <t>stock</t>
        </is>
      </c>
      <c r="F165" s="13" t="n">
        <v>1.8</v>
      </c>
      <c r="G165" s="35">
        <f>IFERROR(C165*F165,0)</f>
        <v>0.0864</v>
      </c>
      <c r="H165" s="15" t="inlineStr">
        <is>
          <t>Peso SECO. Rende ~120 g de feijão cozido por dose.</t>
        </is>
      </c>
    </row>
    <row r="166">
      <c r="A166" s="33" t="inlineStr"/>
      <c r="B166" s="15" t="inlineStr">
        <is>
          <t>Farinha de mandioca (farofa)</t>
        </is>
      </c>
      <c r="C166" s="11" t="n">
        <v>0.022</v>
      </c>
      <c r="D166" s="12" t="inlineStr">
        <is>
          <t>kg</t>
        </is>
      </c>
      <c r="E166" s="34" t="inlineStr">
        <is>
          <t>stock</t>
        </is>
      </c>
      <c r="F166" s="13" t="n">
        <v>2.5</v>
      </c>
      <c r="G166" s="35">
        <f>IFERROR(C166*F166,0)</f>
        <v>0.055</v>
      </c>
      <c r="H166" s="15" t="inlineStr">
        <is>
          <t>Rende ~30 g de farofa pronta.</t>
        </is>
      </c>
    </row>
    <row r="167">
      <c r="A167" s="33" t="inlineStr"/>
      <c r="B167" s="15" t="inlineStr">
        <is>
          <t>Manteiga</t>
        </is>
      </c>
      <c r="C167" s="11" t="n">
        <v>0.17</v>
      </c>
      <c r="D167" s="12" t="inlineStr">
        <is>
          <t>porção</t>
        </is>
      </c>
      <c r="E167" s="34" t="inlineStr">
        <is>
          <t>stock</t>
        </is>
      </c>
      <c r="F167" s="13" t="n">
        <v>0.12</v>
      </c>
      <c r="G167" s="35">
        <f>IFERROR(C167*F167,0)</f>
        <v>0.0204</v>
      </c>
      <c r="H167" s="15" t="inlineStr">
        <is>
          <t>Componente da farofa. ATENÇÃO: unidade "porção" sem gramagem definida em stock.</t>
        </is>
      </c>
    </row>
    <row r="168">
      <c r="A168" s="33" t="inlineStr"/>
      <c r="B168" s="15" t="inlineStr">
        <is>
          <t>Alface / mistura de salada</t>
        </is>
      </c>
      <c r="C168" s="11" t="n">
        <v>0.04</v>
      </c>
      <c r="D168" s="12" t="inlineStr">
        <is>
          <t>kg</t>
        </is>
      </c>
      <c r="E168" s="34" t="inlineStr">
        <is>
          <t>stock</t>
        </is>
      </c>
      <c r="F168" s="13" t="n">
        <v>3.5</v>
      </c>
      <c r="G168" s="35">
        <f>IFERROR(C168*F168,0)</f>
        <v>0.14</v>
      </c>
      <c r="H168" s="15" t="inlineStr">
        <is>
          <t>Salada de acompanhamento.</t>
        </is>
      </c>
    </row>
    <row r="169">
      <c r="A169" s="33" t="inlineStr"/>
      <c r="B169" s="15" t="inlineStr">
        <is>
          <t>Tomate fresco</t>
        </is>
      </c>
      <c r="C169" s="11" t="n">
        <v>0.015</v>
      </c>
      <c r="D169" s="12" t="inlineStr">
        <is>
          <t>kg</t>
        </is>
      </c>
      <c r="E169" s="34" t="inlineStr">
        <is>
          <t>stock</t>
        </is>
      </c>
      <c r="F169" s="13" t="n">
        <v>2.2</v>
      </c>
      <c r="G169" s="35">
        <f>IFERROR(C169*F169,0)</f>
        <v>0.033</v>
      </c>
      <c r="H169" s="15" t="inlineStr">
        <is>
          <t>Salada de acompanhamento.</t>
        </is>
      </c>
    </row>
    <row r="170">
      <c r="A170" s="33" t="inlineStr"/>
      <c r="B170" s="15" t="inlineStr">
        <is>
          <t>Cebola</t>
        </is>
      </c>
      <c r="C170" s="11" t="n">
        <v>0.1</v>
      </c>
      <c r="D170" s="12" t="inlineStr">
        <is>
          <t>unidade</t>
        </is>
      </c>
      <c r="E170" s="34" t="inlineStr">
        <is>
          <t>stock</t>
        </is>
      </c>
      <c r="F170" s="13" t="n">
        <v>0.18</v>
      </c>
      <c r="G170" s="35">
        <f>IFERROR(C170*F170,0)</f>
        <v>0.018</v>
      </c>
      <c r="H170" s="15" t="inlineStr">
        <is>
          <t>Refogado do arroz e da farofa.</t>
        </is>
      </c>
    </row>
    <row r="171">
      <c r="A171" s="33" t="inlineStr"/>
      <c r="B171" s="15" t="inlineStr">
        <is>
          <t>Alho fresco</t>
        </is>
      </c>
      <c r="C171" s="11" t="n">
        <v>0.002</v>
      </c>
      <c r="D171" s="12" t="inlineStr">
        <is>
          <t>kg</t>
        </is>
      </c>
      <c r="E171" s="34" t="inlineStr">
        <is>
          <t>stock</t>
        </is>
      </c>
      <c r="F171" s="13" t="n">
        <v>3.5</v>
      </c>
      <c r="G171" s="35">
        <f>IFERROR(C171*F171,0)</f>
        <v>0.007</v>
      </c>
      <c r="H171" s="15" t="inlineStr">
        <is>
          <t>Refogado do arroz e da farofa.</t>
        </is>
      </c>
    </row>
    <row r="172">
      <c r="A172" s="33" t="inlineStr"/>
      <c r="B172" s="15" t="inlineStr">
        <is>
          <t>Azeite virgem extra</t>
        </is>
      </c>
      <c r="C172" s="11" t="n">
        <v>0.02</v>
      </c>
      <c r="D172" s="12" t="inlineStr">
        <is>
          <t>unidade</t>
        </is>
      </c>
      <c r="E172" s="34" t="inlineStr">
        <is>
          <t>stock</t>
        </is>
      </c>
      <c r="F172" s="13" t="n">
        <v>5</v>
      </c>
      <c r="G172" s="35">
        <f>IFERROR(C172*F172,0)</f>
        <v>0.1</v>
      </c>
      <c r="H172" s="15" t="inlineStr">
        <is>
          <t>Refogados e tempero da salada. ATENÇÃO: unidade "unidade" a 5,00 € — confirmar se é garrafa de 1 L.</t>
        </is>
      </c>
    </row>
    <row r="173">
      <c r="A173" s="33" t="inlineStr"/>
      <c r="B173" s="15" t="inlineStr">
        <is>
          <t>Especiarias base (louro, alho em pó, pimenta preta, sal)</t>
        </is>
      </c>
      <c r="C173" s="11" t="n">
        <v>0.001</v>
      </c>
      <c r="D173" s="12" t="inlineStr">
        <is>
          <t>pacote</t>
        </is>
      </c>
      <c r="E173" s="34" t="inlineStr">
        <is>
          <t>stock</t>
        </is>
      </c>
      <c r="F173" s="13" t="n">
        <v>18</v>
      </c>
      <c r="G173" s="35">
        <f>IFERROR(C173*F173,0)</f>
        <v>0.018</v>
      </c>
      <c r="H173" s="15" t="inlineStr">
        <is>
          <t>Rateio por dose.</t>
        </is>
      </c>
    </row>
    <row r="174">
      <c r="A174" s="36" t="n"/>
      <c r="B174" s="37" t="inlineStr">
        <is>
          <t>CUSTO TOTAL POR DOSE — Carne de Panela</t>
        </is>
      </c>
      <c r="C174" s="36" t="n"/>
      <c r="D174" s="36" t="n"/>
      <c r="E174" s="36" t="n"/>
      <c r="F174" s="36" t="n"/>
      <c r="G174" s="38">
        <f>SUM(G158:G173)</f>
        <v>2.8428</v>
      </c>
      <c r="H174" s="39" t="inlineStr">
        <is>
          <t>Estufado de 2 h. Produzir em lote e congelar em doses.</t>
        </is>
      </c>
    </row>
    <row r="176">
      <c r="A176" s="33" t="inlineStr">
        <is>
          <t>Piano</t>
        </is>
      </c>
      <c r="B176" s="27" t="inlineStr">
        <is>
          <t>Piano de porco (entrecosto)</t>
        </is>
      </c>
      <c r="C176" s="11" t="n">
        <v>0.35</v>
      </c>
      <c r="D176" s="12" t="inlineStr">
        <is>
          <t>kg</t>
        </is>
      </c>
      <c r="E176" s="40" t="inlineStr">
        <is>
          <t>A CRIAR</t>
        </is>
      </c>
      <c r="F176" s="13" t="n">
        <v>5.5</v>
      </c>
      <c r="G176" s="35">
        <f>IFERROR(C176*F176,0)</f>
        <v>1.925</v>
      </c>
      <c r="H176" s="15" t="inlineStr">
        <is>
          <t>ITEM A CRIAR. Corte com osso — o peso servido inclui osso.</t>
        </is>
      </c>
    </row>
    <row r="177">
      <c r="A177" s="33" t="inlineStr"/>
      <c r="B177" s="15" t="inlineStr">
        <is>
          <t>Colorau</t>
        </is>
      </c>
      <c r="C177" s="11" t="n">
        <v>0.004</v>
      </c>
      <c r="D177" s="12" t="inlineStr">
        <is>
          <t>kg</t>
        </is>
      </c>
      <c r="E177" s="34" t="inlineStr">
        <is>
          <t>stock</t>
        </is>
      </c>
      <c r="F177" s="13" t="n">
        <v>6</v>
      </c>
      <c r="G177" s="35">
        <f>IFERROR(C177*F177,0)</f>
        <v>0.024</v>
      </c>
      <c r="H177" s="15" t="inlineStr">
        <is>
          <t>Tempero.</t>
        </is>
      </c>
    </row>
    <row r="178">
      <c r="A178" s="33" t="inlineStr"/>
      <c r="B178" s="15" t="inlineStr">
        <is>
          <t>Alho fresco</t>
        </is>
      </c>
      <c r="C178" s="11" t="n">
        <v>0.004</v>
      </c>
      <c r="D178" s="12" t="inlineStr">
        <is>
          <t>kg</t>
        </is>
      </c>
      <c r="E178" s="34" t="inlineStr">
        <is>
          <t>stock</t>
        </is>
      </c>
      <c r="F178" s="13" t="n">
        <v>3.5</v>
      </c>
      <c r="G178" s="35">
        <f>IFERROR(C178*F178,0)</f>
        <v>0.014</v>
      </c>
      <c r="H178" s="15" t="inlineStr"/>
    </row>
    <row r="179">
      <c r="A179" s="33" t="inlineStr"/>
      <c r="B179" s="15" t="inlineStr">
        <is>
          <t>Azeite virgem extra</t>
        </is>
      </c>
      <c r="C179" s="11" t="n">
        <v>0.008</v>
      </c>
      <c r="D179" s="12" t="inlineStr">
        <is>
          <t>unidade</t>
        </is>
      </c>
      <c r="E179" s="34" t="inlineStr">
        <is>
          <t>stock</t>
        </is>
      </c>
      <c r="F179" s="13" t="n">
        <v>5</v>
      </c>
      <c r="G179" s="35">
        <f>IFERROR(C179*F179,0)</f>
        <v>0.04</v>
      </c>
      <c r="H179" s="15" t="inlineStr"/>
    </row>
    <row r="180">
      <c r="A180" s="33" t="inlineStr"/>
      <c r="B180" s="15" t="inlineStr">
        <is>
          <t>Arroz agulha</t>
        </is>
      </c>
      <c r="C180" s="11" t="n">
        <v>0.05</v>
      </c>
      <c r="D180" s="12" t="inlineStr">
        <is>
          <t>kg</t>
        </is>
      </c>
      <c r="E180" s="34" t="inlineStr">
        <is>
          <t>stock</t>
        </is>
      </c>
      <c r="F180" s="13" t="n">
        <v>1.1</v>
      </c>
      <c r="G180" s="35">
        <f>IFERROR(C180*F180,0)</f>
        <v>0.055</v>
      </c>
      <c r="H180" s="15" t="inlineStr">
        <is>
          <t>Peso SECO. Rende ~150 g de arroz cozido por dose.</t>
        </is>
      </c>
    </row>
    <row r="181">
      <c r="A181" s="33" t="inlineStr"/>
      <c r="B181" s="15" t="inlineStr">
        <is>
          <t>Feijão preto</t>
        </is>
      </c>
      <c r="C181" s="11" t="n">
        <v>0.048</v>
      </c>
      <c r="D181" s="12" t="inlineStr">
        <is>
          <t>kg</t>
        </is>
      </c>
      <c r="E181" s="34" t="inlineStr">
        <is>
          <t>stock</t>
        </is>
      </c>
      <c r="F181" s="13" t="n">
        <v>1.8</v>
      </c>
      <c r="G181" s="35">
        <f>IFERROR(C181*F181,0)</f>
        <v>0.0864</v>
      </c>
      <c r="H181" s="15" t="inlineStr">
        <is>
          <t>Peso SECO. Rende ~120 g de feijão cozido por dose.</t>
        </is>
      </c>
    </row>
    <row r="182">
      <c r="A182" s="33" t="inlineStr"/>
      <c r="B182" s="15" t="inlineStr">
        <is>
          <t>Farinha de mandioca (farofa)</t>
        </is>
      </c>
      <c r="C182" s="11" t="n">
        <v>0.022</v>
      </c>
      <c r="D182" s="12" t="inlineStr">
        <is>
          <t>kg</t>
        </is>
      </c>
      <c r="E182" s="34" t="inlineStr">
        <is>
          <t>stock</t>
        </is>
      </c>
      <c r="F182" s="13" t="n">
        <v>2.5</v>
      </c>
      <c r="G182" s="35">
        <f>IFERROR(C182*F182,0)</f>
        <v>0.055</v>
      </c>
      <c r="H182" s="15" t="inlineStr">
        <is>
          <t>Rende ~30 g de farofa pronta.</t>
        </is>
      </c>
    </row>
    <row r="183">
      <c r="A183" s="33" t="inlineStr"/>
      <c r="B183" s="15" t="inlineStr">
        <is>
          <t>Manteiga</t>
        </is>
      </c>
      <c r="C183" s="11" t="n">
        <v>0.17</v>
      </c>
      <c r="D183" s="12" t="inlineStr">
        <is>
          <t>porção</t>
        </is>
      </c>
      <c r="E183" s="34" t="inlineStr">
        <is>
          <t>stock</t>
        </is>
      </c>
      <c r="F183" s="13" t="n">
        <v>0.12</v>
      </c>
      <c r="G183" s="35">
        <f>IFERROR(C183*F183,0)</f>
        <v>0.0204</v>
      </c>
      <c r="H183" s="15" t="inlineStr">
        <is>
          <t>Componente da farofa. ATENÇÃO: unidade "porção" sem gramagem definida em stock.</t>
        </is>
      </c>
    </row>
    <row r="184">
      <c r="A184" s="33" t="inlineStr"/>
      <c r="B184" s="15" t="inlineStr">
        <is>
          <t>Alface / mistura de salada</t>
        </is>
      </c>
      <c r="C184" s="11" t="n">
        <v>0.04</v>
      </c>
      <c r="D184" s="12" t="inlineStr">
        <is>
          <t>kg</t>
        </is>
      </c>
      <c r="E184" s="34" t="inlineStr">
        <is>
          <t>stock</t>
        </is>
      </c>
      <c r="F184" s="13" t="n">
        <v>3.5</v>
      </c>
      <c r="G184" s="35">
        <f>IFERROR(C184*F184,0)</f>
        <v>0.14</v>
      </c>
      <c r="H184" s="15" t="inlineStr">
        <is>
          <t>Salada de acompanhamento.</t>
        </is>
      </c>
    </row>
    <row r="185">
      <c r="A185" s="33" t="inlineStr"/>
      <c r="B185" s="15" t="inlineStr">
        <is>
          <t>Tomate fresco</t>
        </is>
      </c>
      <c r="C185" s="11" t="n">
        <v>0.015</v>
      </c>
      <c r="D185" s="12" t="inlineStr">
        <is>
          <t>kg</t>
        </is>
      </c>
      <c r="E185" s="34" t="inlineStr">
        <is>
          <t>stock</t>
        </is>
      </c>
      <c r="F185" s="13" t="n">
        <v>2.2</v>
      </c>
      <c r="G185" s="35">
        <f>IFERROR(C185*F185,0)</f>
        <v>0.033</v>
      </c>
      <c r="H185" s="15" t="inlineStr">
        <is>
          <t>Salada de acompanhamento.</t>
        </is>
      </c>
    </row>
    <row r="186">
      <c r="A186" s="33" t="inlineStr"/>
      <c r="B186" s="15" t="inlineStr">
        <is>
          <t>Cebola</t>
        </is>
      </c>
      <c r="C186" s="11" t="n">
        <v>0.1</v>
      </c>
      <c r="D186" s="12" t="inlineStr">
        <is>
          <t>unidade</t>
        </is>
      </c>
      <c r="E186" s="34" t="inlineStr">
        <is>
          <t>stock</t>
        </is>
      </c>
      <c r="F186" s="13" t="n">
        <v>0.18</v>
      </c>
      <c r="G186" s="35">
        <f>IFERROR(C186*F186,0)</f>
        <v>0.018</v>
      </c>
      <c r="H186" s="15" t="inlineStr">
        <is>
          <t>Refogado do arroz e da farofa.</t>
        </is>
      </c>
    </row>
    <row r="187">
      <c r="A187" s="33" t="inlineStr"/>
      <c r="B187" s="15" t="inlineStr">
        <is>
          <t>Alho fresco</t>
        </is>
      </c>
      <c r="C187" s="11" t="n">
        <v>0.002</v>
      </c>
      <c r="D187" s="12" t="inlineStr">
        <is>
          <t>kg</t>
        </is>
      </c>
      <c r="E187" s="34" t="inlineStr">
        <is>
          <t>stock</t>
        </is>
      </c>
      <c r="F187" s="13" t="n">
        <v>3.5</v>
      </c>
      <c r="G187" s="35">
        <f>IFERROR(C187*F187,0)</f>
        <v>0.007</v>
      </c>
      <c r="H187" s="15" t="inlineStr">
        <is>
          <t>Refogado do arroz e da farofa.</t>
        </is>
      </c>
    </row>
    <row r="188">
      <c r="A188" s="33" t="inlineStr"/>
      <c r="B188" s="15" t="inlineStr">
        <is>
          <t>Azeite virgem extra</t>
        </is>
      </c>
      <c r="C188" s="11" t="n">
        <v>0.02</v>
      </c>
      <c r="D188" s="12" t="inlineStr">
        <is>
          <t>unidade</t>
        </is>
      </c>
      <c r="E188" s="34" t="inlineStr">
        <is>
          <t>stock</t>
        </is>
      </c>
      <c r="F188" s="13" t="n">
        <v>5</v>
      </c>
      <c r="G188" s="35">
        <f>IFERROR(C188*F188,0)</f>
        <v>0.1</v>
      </c>
      <c r="H188" s="15" t="inlineStr">
        <is>
          <t>Refogados e tempero da salada. ATENÇÃO: unidade "unidade" a 5,00 € — confirmar se é garrafa de 1 L.</t>
        </is>
      </c>
    </row>
    <row r="189">
      <c r="A189" s="33" t="inlineStr"/>
      <c r="B189" s="15" t="inlineStr">
        <is>
          <t>Especiarias base (louro, alho em pó, pimenta preta, sal)</t>
        </is>
      </c>
      <c r="C189" s="11" t="n">
        <v>0.001</v>
      </c>
      <c r="D189" s="12" t="inlineStr">
        <is>
          <t>pacote</t>
        </is>
      </c>
      <c r="E189" s="34" t="inlineStr">
        <is>
          <t>stock</t>
        </is>
      </c>
      <c r="F189" s="13" t="n">
        <v>18</v>
      </c>
      <c r="G189" s="35">
        <f>IFERROR(C189*F189,0)</f>
        <v>0.018</v>
      </c>
      <c r="H189" s="15" t="inlineStr">
        <is>
          <t>Rateio por dose.</t>
        </is>
      </c>
    </row>
    <row r="190">
      <c r="A190" s="36" t="n"/>
      <c r="B190" s="37" t="inlineStr">
        <is>
          <t>CUSTO TOTAL POR DOSE — Piano</t>
        </is>
      </c>
      <c r="C190" s="36" t="n"/>
      <c r="D190" s="36" t="n"/>
      <c r="E190" s="36" t="n"/>
      <c r="F190" s="36" t="n"/>
      <c r="G190" s="38">
        <f>SUM(G176:G189)</f>
        <v>2.5358</v>
      </c>
      <c r="H190" s="39" t="inlineStr">
        <is>
          <t>Corte com osso: 350 g brutos dão ~200 g de carne. É por isso que a gramagem é mais alta.</t>
        </is>
      </c>
    </row>
    <row r="192">
      <c r="A192" s="33" t="inlineStr">
        <is>
          <t>Massada de Perca</t>
        </is>
      </c>
      <c r="B192" s="27" t="inlineStr">
        <is>
          <t>Perca (filete congelado)</t>
        </is>
      </c>
      <c r="C192" s="11" t="n">
        <v>0.18</v>
      </c>
      <c r="D192" s="12" t="inlineStr">
        <is>
          <t>kg</t>
        </is>
      </c>
      <c r="E192" s="40" t="inlineStr">
        <is>
          <t>A CRIAR</t>
        </is>
      </c>
      <c r="F192" s="13" t="n">
        <v>8.5</v>
      </c>
      <c r="G192" s="35">
        <f>IFERROR(C192*F192,0)</f>
        <v>1.53</v>
      </c>
      <c r="H192" s="15" t="inlineStr">
        <is>
          <t>ITEM A CRIAR.</t>
        </is>
      </c>
    </row>
    <row r="193">
      <c r="A193" s="33" t="inlineStr"/>
      <c r="B193" s="27" t="inlineStr">
        <is>
          <t>Massa cotovelo / macarrão</t>
        </is>
      </c>
      <c r="C193" s="11" t="n">
        <v>0.08</v>
      </c>
      <c r="D193" s="12" t="inlineStr">
        <is>
          <t>kg</t>
        </is>
      </c>
      <c r="E193" s="40" t="inlineStr">
        <is>
          <t>A CRIAR</t>
        </is>
      </c>
      <c r="F193" s="13" t="n">
        <v>1.2</v>
      </c>
      <c r="G193" s="35">
        <f>IFERROR(C193*F193,0)</f>
        <v>0.096</v>
      </c>
      <c r="H193" s="15" t="inlineStr">
        <is>
          <t>ITEM A CRIAR. Peso seco.</t>
        </is>
      </c>
    </row>
    <row r="194">
      <c r="A194" s="33" t="inlineStr"/>
      <c r="B194" s="15" t="inlineStr">
        <is>
          <t>Tomate pelado</t>
        </is>
      </c>
      <c r="C194" s="11" t="n">
        <v>0.1</v>
      </c>
      <c r="D194" s="12" t="inlineStr">
        <is>
          <t>kg</t>
        </is>
      </c>
      <c r="E194" s="34" t="inlineStr">
        <is>
          <t>stock</t>
        </is>
      </c>
      <c r="F194" s="13" t="n">
        <v>1.5</v>
      </c>
      <c r="G194" s="35">
        <f>IFERROR(C194*F194,0)</f>
        <v>0.15</v>
      </c>
      <c r="H194" s="15" t="inlineStr"/>
    </row>
    <row r="195">
      <c r="A195" s="33" t="inlineStr"/>
      <c r="B195" s="15" t="inlineStr">
        <is>
          <t>Cebola</t>
        </is>
      </c>
      <c r="C195" s="11" t="n">
        <v>0.5</v>
      </c>
      <c r="D195" s="12" t="inlineStr">
        <is>
          <t>unidade</t>
        </is>
      </c>
      <c r="E195" s="34" t="inlineStr">
        <is>
          <t>stock</t>
        </is>
      </c>
      <c r="F195" s="13" t="n">
        <v>0.18</v>
      </c>
      <c r="G195" s="35">
        <f>IFERROR(C195*F195,0)</f>
        <v>0.09</v>
      </c>
      <c r="H195" s="15" t="inlineStr"/>
    </row>
    <row r="196">
      <c r="A196" s="33" t="inlineStr"/>
      <c r="B196" s="15" t="inlineStr">
        <is>
          <t>Alho fresco</t>
        </is>
      </c>
      <c r="C196" s="11" t="n">
        <v>0.004</v>
      </c>
      <c r="D196" s="12" t="inlineStr">
        <is>
          <t>kg</t>
        </is>
      </c>
      <c r="E196" s="34" t="inlineStr">
        <is>
          <t>stock</t>
        </is>
      </c>
      <c r="F196" s="13" t="n">
        <v>3.5</v>
      </c>
      <c r="G196" s="35">
        <f>IFERROR(C196*F196,0)</f>
        <v>0.014</v>
      </c>
      <c r="H196" s="15" t="inlineStr"/>
    </row>
    <row r="197">
      <c r="A197" s="33" t="inlineStr"/>
      <c r="B197" s="15" t="inlineStr">
        <is>
          <t>Coentros</t>
        </is>
      </c>
      <c r="C197" s="11" t="n">
        <v>0.1</v>
      </c>
      <c r="D197" s="12" t="inlineStr">
        <is>
          <t>unidade</t>
        </is>
      </c>
      <c r="E197" s="34" t="inlineStr">
        <is>
          <t>stock</t>
        </is>
      </c>
      <c r="F197" s="13" t="n">
        <v>0.8</v>
      </c>
      <c r="G197" s="35">
        <f>IFERROR(C197*F197,0)</f>
        <v>0.08</v>
      </c>
      <c r="H197" s="15" t="inlineStr"/>
    </row>
    <row r="198">
      <c r="A198" s="33" t="inlineStr"/>
      <c r="B198" s="15" t="inlineStr">
        <is>
          <t>Azeite virgem extra</t>
        </is>
      </c>
      <c r="C198" s="11" t="n">
        <v>0.01</v>
      </c>
      <c r="D198" s="12" t="inlineStr">
        <is>
          <t>unidade</t>
        </is>
      </c>
      <c r="E198" s="34" t="inlineStr">
        <is>
          <t>stock</t>
        </is>
      </c>
      <c r="F198" s="13" t="n">
        <v>5</v>
      </c>
      <c r="G198" s="35">
        <f>IFERROR(C198*F198,0)</f>
        <v>0.05</v>
      </c>
      <c r="H198" s="15" t="inlineStr"/>
    </row>
    <row r="199">
      <c r="A199" s="33" t="inlineStr"/>
      <c r="B199" s="15" t="inlineStr">
        <is>
          <t>Alface / mistura de salada</t>
        </is>
      </c>
      <c r="C199" s="11" t="n">
        <v>0.04</v>
      </c>
      <c r="D199" s="12" t="inlineStr">
        <is>
          <t>kg</t>
        </is>
      </c>
      <c r="E199" s="34" t="inlineStr">
        <is>
          <t>stock</t>
        </is>
      </c>
      <c r="F199" s="13" t="n">
        <v>3.5</v>
      </c>
      <c r="G199" s="35">
        <f>IFERROR(C199*F199,0)</f>
        <v>0.14</v>
      </c>
      <c r="H199" s="15" t="inlineStr">
        <is>
          <t>Prato já completo — leva apenas salada.</t>
        </is>
      </c>
    </row>
    <row r="200">
      <c r="A200" s="33" t="inlineStr"/>
      <c r="B200" s="15" t="inlineStr">
        <is>
          <t>Tomate fresco</t>
        </is>
      </c>
      <c r="C200" s="11" t="n">
        <v>0.015</v>
      </c>
      <c r="D200" s="12" t="inlineStr">
        <is>
          <t>kg</t>
        </is>
      </c>
      <c r="E200" s="34" t="inlineStr">
        <is>
          <t>stock</t>
        </is>
      </c>
      <c r="F200" s="13" t="n">
        <v>2.2</v>
      </c>
      <c r="G200" s="35">
        <f>IFERROR(C200*F200,0)</f>
        <v>0.033</v>
      </c>
      <c r="H200" s="15" t="inlineStr"/>
    </row>
    <row r="201">
      <c r="A201" s="33" t="inlineStr"/>
      <c r="B201" s="15" t="inlineStr">
        <is>
          <t>Azeite virgem extra</t>
        </is>
      </c>
      <c r="C201" s="11" t="n">
        <v>0.008</v>
      </c>
      <c r="D201" s="12" t="inlineStr">
        <is>
          <t>unidade</t>
        </is>
      </c>
      <c r="E201" s="34" t="inlineStr">
        <is>
          <t>stock</t>
        </is>
      </c>
      <c r="F201" s="13" t="n">
        <v>5</v>
      </c>
      <c r="G201" s="35">
        <f>IFERROR(C201*F201,0)</f>
        <v>0.04</v>
      </c>
      <c r="H201" s="15" t="inlineStr">
        <is>
          <t>Tempero da salada.</t>
        </is>
      </c>
    </row>
    <row r="202">
      <c r="A202" s="33" t="inlineStr"/>
      <c r="B202" s="15" t="inlineStr">
        <is>
          <t>Especiarias base (louro, alho em pó, pimenta preta, sal)</t>
        </is>
      </c>
      <c r="C202" s="11" t="n">
        <v>0.0005</v>
      </c>
      <c r="D202" s="12" t="inlineStr">
        <is>
          <t>pacote</t>
        </is>
      </c>
      <c r="E202" s="34" t="inlineStr">
        <is>
          <t>stock</t>
        </is>
      </c>
      <c r="F202" s="13" t="n">
        <v>18</v>
      </c>
      <c r="G202" s="35">
        <f>IFERROR(C202*F202,0)</f>
        <v>0.009</v>
      </c>
      <c r="H202" s="15" t="inlineStr">
        <is>
          <t>Rateio por dose.</t>
        </is>
      </c>
    </row>
    <row r="203">
      <c r="A203" s="36" t="n"/>
      <c r="B203" s="37" t="inlineStr">
        <is>
          <t>CUSTO TOTAL POR DOSE — Massada de Perca</t>
        </is>
      </c>
      <c r="C203" s="36" t="n"/>
      <c r="D203" s="36" t="n"/>
      <c r="E203" s="36" t="n"/>
      <c r="F203" s="36" t="n"/>
      <c r="G203" s="38">
        <f>SUM(G192:G202)</f>
        <v>2.232</v>
      </c>
      <c r="H203" s="39" t="inlineStr">
        <is>
          <t>Prato único de caldo. Não leva arroz nem feijão — só salada, se o cliente quiser.</t>
        </is>
      </c>
    </row>
    <row r="205">
      <c r="A205" s="33" t="inlineStr">
        <is>
          <t>Feijoada da Casa</t>
        </is>
      </c>
      <c r="B205" s="15" t="inlineStr">
        <is>
          <t>Feijão preto</t>
        </is>
      </c>
      <c r="C205" s="11" t="n">
        <v>0.12</v>
      </c>
      <c r="D205" s="12" t="inlineStr">
        <is>
          <t>kg</t>
        </is>
      </c>
      <c r="E205" s="34" t="inlineStr">
        <is>
          <t>stock</t>
        </is>
      </c>
      <c r="F205" s="13" t="n">
        <v>1.8</v>
      </c>
      <c r="G205" s="35">
        <f>IFERROR(C205*F205,0)</f>
        <v>0.216</v>
      </c>
      <c r="H205" s="15" t="inlineStr">
        <is>
          <t>Peso SECO. É o corpo do prato, não acompanhamento.</t>
        </is>
      </c>
    </row>
    <row r="206">
      <c r="A206" s="33" t="inlineStr"/>
      <c r="B206" s="15" t="inlineStr">
        <is>
          <t>Entremeada de porco</t>
        </is>
      </c>
      <c r="C206" s="11" t="n">
        <v>0.08</v>
      </c>
      <c r="D206" s="12" t="inlineStr">
        <is>
          <t>kg</t>
        </is>
      </c>
      <c r="E206" s="34" t="inlineStr">
        <is>
          <t>stock</t>
        </is>
      </c>
      <c r="F206" s="13" t="n">
        <v>7</v>
      </c>
      <c r="G206" s="35">
        <f>IFERROR(C206*F206,0)</f>
        <v>0.56</v>
      </c>
      <c r="H206" s="15" t="inlineStr"/>
    </row>
    <row r="207">
      <c r="A207" s="33" t="inlineStr"/>
      <c r="B207" s="15" t="inlineStr">
        <is>
          <t>Chouriço de carne</t>
        </is>
      </c>
      <c r="C207" s="11" t="n">
        <v>0.04</v>
      </c>
      <c r="D207" s="12" t="inlineStr">
        <is>
          <t>kg</t>
        </is>
      </c>
      <c r="E207" s="34" t="inlineStr">
        <is>
          <t>stock</t>
        </is>
      </c>
      <c r="F207" s="13" t="n">
        <v>15</v>
      </c>
      <c r="G207" s="35">
        <f>IFERROR(C207*F207,0)</f>
        <v>0.6</v>
      </c>
      <c r="H207" s="15" t="inlineStr"/>
    </row>
    <row r="208">
      <c r="A208" s="33" t="inlineStr"/>
      <c r="B208" s="15" t="inlineStr">
        <is>
          <t>Paio</t>
        </is>
      </c>
      <c r="C208" s="11" t="n">
        <v>0.03</v>
      </c>
      <c r="D208" s="12" t="inlineStr">
        <is>
          <t>kg</t>
        </is>
      </c>
      <c r="E208" s="34" t="inlineStr">
        <is>
          <t>stock</t>
        </is>
      </c>
      <c r="F208" s="13" t="n">
        <v>18.33</v>
      </c>
      <c r="G208" s="35">
        <f>IFERROR(C208*F208,0)</f>
        <v>0.5499</v>
      </c>
      <c r="H208" s="15" t="inlineStr"/>
    </row>
    <row r="209">
      <c r="A209" s="33" t="inlineStr"/>
      <c r="B209" s="27" t="inlineStr">
        <is>
          <t>Carnes de feijoada (orelha, chispe, farinheira)</t>
        </is>
      </c>
      <c r="C209" s="11" t="n">
        <v>0.08</v>
      </c>
      <c r="D209" s="12" t="inlineStr">
        <is>
          <t>kg</t>
        </is>
      </c>
      <c r="E209" s="40" t="inlineStr">
        <is>
          <t>A CRIAR</t>
        </is>
      </c>
      <c r="F209" s="13" t="n">
        <v>4.5</v>
      </c>
      <c r="G209" s="35">
        <f>IFERROR(C209*F209,0)</f>
        <v>0.36</v>
      </c>
      <c r="H209" s="15" t="inlineStr">
        <is>
          <t>ITEM A CRIAR. Pode vir como sortido.</t>
        </is>
      </c>
    </row>
    <row r="210">
      <c r="A210" s="33" t="inlineStr"/>
      <c r="B210" s="15" t="inlineStr">
        <is>
          <t>Arroz agulha</t>
        </is>
      </c>
      <c r="C210" s="11" t="n">
        <v>0.05</v>
      </c>
      <c r="D210" s="12" t="inlineStr">
        <is>
          <t>kg</t>
        </is>
      </c>
      <c r="E210" s="34" t="inlineStr">
        <is>
          <t>stock</t>
        </is>
      </c>
      <c r="F210" s="13" t="n">
        <v>1.1</v>
      </c>
      <c r="G210" s="35">
        <f>IFERROR(C210*F210,0)</f>
        <v>0.055</v>
      </c>
      <c r="H210" s="15" t="inlineStr">
        <is>
          <t>Peso SECO.</t>
        </is>
      </c>
    </row>
    <row r="211">
      <c r="A211" s="33" t="inlineStr"/>
      <c r="B211" s="15" t="inlineStr">
        <is>
          <t>Farinha de mandioca (farofa)</t>
        </is>
      </c>
      <c r="C211" s="11" t="n">
        <v>0.022</v>
      </c>
      <c r="D211" s="12" t="inlineStr">
        <is>
          <t>kg</t>
        </is>
      </c>
      <c r="E211" s="34" t="inlineStr">
        <is>
          <t>stock</t>
        </is>
      </c>
      <c r="F211" s="13" t="n">
        <v>2.5</v>
      </c>
      <c r="G211" s="35">
        <f>IFERROR(C211*F211,0)</f>
        <v>0.055</v>
      </c>
      <c r="H211" s="15" t="inlineStr">
        <is>
          <t>Rende ~30 g de farofa.</t>
        </is>
      </c>
    </row>
    <row r="212">
      <c r="A212" s="33" t="inlineStr"/>
      <c r="B212" s="15" t="inlineStr">
        <is>
          <t>Manteiga</t>
        </is>
      </c>
      <c r="C212" s="11" t="n">
        <v>0.17</v>
      </c>
      <c r="D212" s="12" t="inlineStr">
        <is>
          <t>porção</t>
        </is>
      </c>
      <c r="E212" s="34" t="inlineStr">
        <is>
          <t>stock</t>
        </is>
      </c>
      <c r="F212" s="13" t="n">
        <v>0.12</v>
      </c>
      <c r="G212" s="35">
        <f>IFERROR(C212*F212,0)</f>
        <v>0.0204</v>
      </c>
      <c r="H212" s="15" t="inlineStr">
        <is>
          <t>Componente da farofa.</t>
        </is>
      </c>
    </row>
    <row r="213">
      <c r="A213" s="33" t="inlineStr"/>
      <c r="B213" s="27" t="inlineStr">
        <is>
          <t>Couve portuguesa</t>
        </is>
      </c>
      <c r="C213" s="11" t="n">
        <v>0.06</v>
      </c>
      <c r="D213" s="12" t="inlineStr">
        <is>
          <t>kg</t>
        </is>
      </c>
      <c r="E213" s="40" t="inlineStr">
        <is>
          <t>A CRIAR</t>
        </is>
      </c>
      <c r="F213" s="13" t="n">
        <v>1.8</v>
      </c>
      <c r="G213" s="35">
        <f>IFERROR(C213*F213,0)</f>
        <v>0.108</v>
      </c>
      <c r="H213" s="15" t="inlineStr">
        <is>
          <t>ITEM A CRIAR. Acompanhamento obrigatório da feijoada.</t>
        </is>
      </c>
    </row>
    <row r="214">
      <c r="A214" s="33" t="inlineStr"/>
      <c r="B214" s="15" t="inlineStr">
        <is>
          <t>Laranja</t>
        </is>
      </c>
      <c r="C214" s="11" t="n">
        <v>0.25</v>
      </c>
      <c r="D214" s="12" t="inlineStr">
        <is>
          <t>unidade</t>
        </is>
      </c>
      <c r="E214" s="34" t="inlineStr">
        <is>
          <t>stock</t>
        </is>
      </c>
      <c r="F214" s="13" t="n">
        <v>0.35</v>
      </c>
      <c r="G214" s="35">
        <f>IFERROR(C214*F214,0)</f>
        <v>0.0875</v>
      </c>
      <c r="H214" s="15" t="inlineStr">
        <is>
          <t>Um quarto de laranja em gomos.</t>
        </is>
      </c>
    </row>
    <row r="215">
      <c r="A215" s="33" t="inlineStr"/>
      <c r="B215" s="15" t="inlineStr">
        <is>
          <t>Cebola</t>
        </is>
      </c>
      <c r="C215" s="11" t="n">
        <v>0.05</v>
      </c>
      <c r="D215" s="12" t="inlineStr">
        <is>
          <t>unidade</t>
        </is>
      </c>
      <c r="E215" s="34" t="inlineStr">
        <is>
          <t>stock</t>
        </is>
      </c>
      <c r="F215" s="13" t="n">
        <v>0.18</v>
      </c>
      <c r="G215" s="35">
        <f>IFERROR(C215*F215,0)</f>
        <v>0.009</v>
      </c>
      <c r="H215" s="15" t="inlineStr"/>
    </row>
    <row r="216">
      <c r="A216" s="33" t="inlineStr"/>
      <c r="B216" s="15" t="inlineStr">
        <is>
          <t>Alho fresco</t>
        </is>
      </c>
      <c r="C216" s="11" t="n">
        <v>0.001</v>
      </c>
      <c r="D216" s="12" t="inlineStr">
        <is>
          <t>kg</t>
        </is>
      </c>
      <c r="E216" s="34" t="inlineStr">
        <is>
          <t>stock</t>
        </is>
      </c>
      <c r="F216" s="13" t="n">
        <v>3.5</v>
      </c>
      <c r="G216" s="35">
        <f>IFERROR(C216*F216,0)</f>
        <v>0.0035</v>
      </c>
      <c r="H216" s="15" t="inlineStr"/>
    </row>
    <row r="217">
      <c r="A217" s="33" t="inlineStr"/>
      <c r="B217" s="15" t="inlineStr">
        <is>
          <t>Azeite virgem extra</t>
        </is>
      </c>
      <c r="C217" s="11" t="n">
        <v>0.008</v>
      </c>
      <c r="D217" s="12" t="inlineStr">
        <is>
          <t>unidade</t>
        </is>
      </c>
      <c r="E217" s="34" t="inlineStr">
        <is>
          <t>stock</t>
        </is>
      </c>
      <c r="F217" s="13" t="n">
        <v>5</v>
      </c>
      <c r="G217" s="35">
        <f>IFERROR(C217*F217,0)</f>
        <v>0.04</v>
      </c>
      <c r="H217" s="15" t="inlineStr"/>
    </row>
    <row r="218">
      <c r="A218" s="33" t="inlineStr"/>
      <c r="B218" s="15" t="inlineStr">
        <is>
          <t>Especiarias base (louro, alho em pó, pimenta preta, sal)</t>
        </is>
      </c>
      <c r="C218" s="11" t="n">
        <v>0.001</v>
      </c>
      <c r="D218" s="12" t="inlineStr">
        <is>
          <t>pacote</t>
        </is>
      </c>
      <c r="E218" s="34" t="inlineStr">
        <is>
          <t>stock</t>
        </is>
      </c>
      <c r="F218" s="13" t="n">
        <v>18</v>
      </c>
      <c r="G218" s="35">
        <f>IFERROR(C218*F218,0)</f>
        <v>0.018</v>
      </c>
      <c r="H218" s="15" t="inlineStr"/>
    </row>
    <row r="219">
      <c r="A219" s="36" t="n"/>
      <c r="B219" s="37" t="inlineStr">
        <is>
          <t>CUSTO TOTAL POR DOSE — Feijoada da Casa</t>
        </is>
      </c>
      <c r="C219" s="36" t="n"/>
      <c r="D219" s="36" t="n"/>
      <c r="E219" s="36" t="n"/>
      <c r="F219" s="36" t="n"/>
      <c r="G219" s="38">
        <f>SUM(G205:G218)</f>
        <v>2.6823</v>
      </c>
      <c r="H219" s="39" t="inlineStr">
        <is>
          <t>O feijão é o prato. Leva arroz, farofa, couve e laranja — não leva feijão de acompanhamento nem salada.</t>
        </is>
      </c>
    </row>
    <row r="221">
      <c r="A221" s="33" t="inlineStr">
        <is>
          <t>Frango Ensopado</t>
        </is>
      </c>
      <c r="B221" s="27" t="inlineStr">
        <is>
          <t>Frango em pedaços (coxa e perna)</t>
        </is>
      </c>
      <c r="C221" s="11" t="n">
        <v>0.28</v>
      </c>
      <c r="D221" s="12" t="inlineStr">
        <is>
          <t>kg</t>
        </is>
      </c>
      <c r="E221" s="40" t="inlineStr">
        <is>
          <t>A CRIAR</t>
        </is>
      </c>
      <c r="F221" s="13" t="n">
        <v>3.8</v>
      </c>
      <c r="G221" s="35">
        <f>IFERROR(C221*F221,0)</f>
        <v>1.064</v>
      </c>
      <c r="H221" s="15" t="inlineStr">
        <is>
          <t>ITEM A CRIAR. Com osso.</t>
        </is>
      </c>
    </row>
    <row r="222">
      <c r="A222" s="33" t="inlineStr"/>
      <c r="B222" s="15" t="inlineStr">
        <is>
          <t>Pão para Pica-Pau / acompanhamento</t>
        </is>
      </c>
      <c r="C222" s="11" t="n">
        <v>1</v>
      </c>
      <c r="D222" s="12" t="inlineStr">
        <is>
          <t>unidade</t>
        </is>
      </c>
      <c r="E222" s="34" t="inlineStr">
        <is>
          <t>stock</t>
        </is>
      </c>
      <c r="F222" s="13" t="n">
        <v>0.6</v>
      </c>
      <c r="G222" s="35">
        <f>IFERROR(C222*F222,0)</f>
        <v>0.6</v>
      </c>
      <c r="H222" s="15" t="inlineStr">
        <is>
          <t>Fatias no fundo do prato — é o que define o ensopado.</t>
        </is>
      </c>
    </row>
    <row r="223">
      <c r="A223" s="33" t="inlineStr"/>
      <c r="B223" s="15" t="inlineStr">
        <is>
          <t>Cebola</t>
        </is>
      </c>
      <c r="C223" s="11" t="n">
        <v>0.5</v>
      </c>
      <c r="D223" s="12" t="inlineStr">
        <is>
          <t>unidade</t>
        </is>
      </c>
      <c r="E223" s="34" t="inlineStr">
        <is>
          <t>stock</t>
        </is>
      </c>
      <c r="F223" s="13" t="n">
        <v>0.18</v>
      </c>
      <c r="G223" s="35">
        <f>IFERROR(C223*F223,0)</f>
        <v>0.09</v>
      </c>
      <c r="H223" s="15" t="inlineStr"/>
    </row>
    <row r="224">
      <c r="A224" s="33" t="inlineStr"/>
      <c r="B224" s="15" t="inlineStr">
        <is>
          <t>Tomate pelado</t>
        </is>
      </c>
      <c r="C224" s="11" t="n">
        <v>0.06</v>
      </c>
      <c r="D224" s="12" t="inlineStr">
        <is>
          <t>kg</t>
        </is>
      </c>
      <c r="E224" s="34" t="inlineStr">
        <is>
          <t>stock</t>
        </is>
      </c>
      <c r="F224" s="13" t="n">
        <v>1.5</v>
      </c>
      <c r="G224" s="35">
        <f>IFERROR(C224*F224,0)</f>
        <v>0.09</v>
      </c>
      <c r="H224" s="15" t="inlineStr"/>
    </row>
    <row r="225">
      <c r="A225" s="33" t="inlineStr"/>
      <c r="B225" s="15" t="inlineStr">
        <is>
          <t>Alho fresco</t>
        </is>
      </c>
      <c r="C225" s="11" t="n">
        <v>0.004</v>
      </c>
      <c r="D225" s="12" t="inlineStr">
        <is>
          <t>kg</t>
        </is>
      </c>
      <c r="E225" s="34" t="inlineStr">
        <is>
          <t>stock</t>
        </is>
      </c>
      <c r="F225" s="13" t="n">
        <v>3.5</v>
      </c>
      <c r="G225" s="35">
        <f>IFERROR(C225*F225,0)</f>
        <v>0.014</v>
      </c>
      <c r="H225" s="15" t="inlineStr"/>
    </row>
    <row r="226">
      <c r="A226" s="33" t="inlineStr"/>
      <c r="B226" s="15" t="inlineStr">
        <is>
          <t>Coentros</t>
        </is>
      </c>
      <c r="C226" s="11" t="n">
        <v>0.1</v>
      </c>
      <c r="D226" s="12" t="inlineStr">
        <is>
          <t>unidade</t>
        </is>
      </c>
      <c r="E226" s="34" t="inlineStr">
        <is>
          <t>stock</t>
        </is>
      </c>
      <c r="F226" s="13" t="n">
        <v>0.8</v>
      </c>
      <c r="G226" s="35">
        <f>IFERROR(C226*F226,0)</f>
        <v>0.08</v>
      </c>
      <c r="H226" s="15" t="inlineStr"/>
    </row>
    <row r="227">
      <c r="A227" s="33" t="inlineStr"/>
      <c r="B227" s="15" t="inlineStr">
        <is>
          <t>Azeite virgem extra</t>
        </is>
      </c>
      <c r="C227" s="11" t="n">
        <v>0.01</v>
      </c>
      <c r="D227" s="12" t="inlineStr">
        <is>
          <t>unidade</t>
        </is>
      </c>
      <c r="E227" s="34" t="inlineStr">
        <is>
          <t>stock</t>
        </is>
      </c>
      <c r="F227" s="13" t="n">
        <v>5</v>
      </c>
      <c r="G227" s="35">
        <f>IFERROR(C227*F227,0)</f>
        <v>0.05</v>
      </c>
      <c r="H227" s="15" t="inlineStr"/>
    </row>
    <row r="228">
      <c r="A228" s="33" t="inlineStr"/>
      <c r="B228" s="15" t="inlineStr">
        <is>
          <t>Arroz agulha</t>
        </is>
      </c>
      <c r="C228" s="11" t="n">
        <v>0.05</v>
      </c>
      <c r="D228" s="12" t="inlineStr">
        <is>
          <t>kg</t>
        </is>
      </c>
      <c r="E228" s="34" t="inlineStr">
        <is>
          <t>stock</t>
        </is>
      </c>
      <c r="F228" s="13" t="n">
        <v>1.1</v>
      </c>
      <c r="G228" s="35">
        <f>IFERROR(C228*F228,0)</f>
        <v>0.055</v>
      </c>
      <c r="H228" s="15" t="inlineStr">
        <is>
          <t>Peso SECO. Rende ~150 g de arroz cozido por dose.</t>
        </is>
      </c>
    </row>
    <row r="229">
      <c r="A229" s="33" t="inlineStr"/>
      <c r="B229" s="15" t="inlineStr">
        <is>
          <t>Feijão preto</t>
        </is>
      </c>
      <c r="C229" s="11" t="n">
        <v>0.048</v>
      </c>
      <c r="D229" s="12" t="inlineStr">
        <is>
          <t>kg</t>
        </is>
      </c>
      <c r="E229" s="34" t="inlineStr">
        <is>
          <t>stock</t>
        </is>
      </c>
      <c r="F229" s="13" t="n">
        <v>1.8</v>
      </c>
      <c r="G229" s="35">
        <f>IFERROR(C229*F229,0)</f>
        <v>0.0864</v>
      </c>
      <c r="H229" s="15" t="inlineStr">
        <is>
          <t>Peso SECO. Rende ~120 g de feijão cozido por dose.</t>
        </is>
      </c>
    </row>
    <row r="230">
      <c r="A230" s="33" t="inlineStr"/>
      <c r="B230" s="15" t="inlineStr">
        <is>
          <t>Farinha de mandioca (farofa)</t>
        </is>
      </c>
      <c r="C230" s="11" t="n">
        <v>0.022</v>
      </c>
      <c r="D230" s="12" t="inlineStr">
        <is>
          <t>kg</t>
        </is>
      </c>
      <c r="E230" s="34" t="inlineStr">
        <is>
          <t>stock</t>
        </is>
      </c>
      <c r="F230" s="13" t="n">
        <v>2.5</v>
      </c>
      <c r="G230" s="35">
        <f>IFERROR(C230*F230,0)</f>
        <v>0.055</v>
      </c>
      <c r="H230" s="15" t="inlineStr">
        <is>
          <t>Rende ~30 g de farofa pronta.</t>
        </is>
      </c>
    </row>
    <row r="231">
      <c r="A231" s="33" t="inlineStr"/>
      <c r="B231" s="15" t="inlineStr">
        <is>
          <t>Manteiga</t>
        </is>
      </c>
      <c r="C231" s="11" t="n">
        <v>0.17</v>
      </c>
      <c r="D231" s="12" t="inlineStr">
        <is>
          <t>porção</t>
        </is>
      </c>
      <c r="E231" s="34" t="inlineStr">
        <is>
          <t>stock</t>
        </is>
      </c>
      <c r="F231" s="13" t="n">
        <v>0.12</v>
      </c>
      <c r="G231" s="35">
        <f>IFERROR(C231*F231,0)</f>
        <v>0.0204</v>
      </c>
      <c r="H231" s="15" t="inlineStr">
        <is>
          <t>Componente da farofa. ATENÇÃO: unidade "porção" sem gramagem definida em stock.</t>
        </is>
      </c>
    </row>
    <row r="232">
      <c r="A232" s="33" t="inlineStr"/>
      <c r="B232" s="15" t="inlineStr">
        <is>
          <t>Alface / mistura de salada</t>
        </is>
      </c>
      <c r="C232" s="11" t="n">
        <v>0.04</v>
      </c>
      <c r="D232" s="12" t="inlineStr">
        <is>
          <t>kg</t>
        </is>
      </c>
      <c r="E232" s="34" t="inlineStr">
        <is>
          <t>stock</t>
        </is>
      </c>
      <c r="F232" s="13" t="n">
        <v>3.5</v>
      </c>
      <c r="G232" s="35">
        <f>IFERROR(C232*F232,0)</f>
        <v>0.14</v>
      </c>
      <c r="H232" s="15" t="inlineStr">
        <is>
          <t>Salada de acompanhamento.</t>
        </is>
      </c>
    </row>
    <row r="233">
      <c r="A233" s="33" t="inlineStr"/>
      <c r="B233" s="15" t="inlineStr">
        <is>
          <t>Tomate fresco</t>
        </is>
      </c>
      <c r="C233" s="11" t="n">
        <v>0.015</v>
      </c>
      <c r="D233" s="12" t="inlineStr">
        <is>
          <t>kg</t>
        </is>
      </c>
      <c r="E233" s="34" t="inlineStr">
        <is>
          <t>stock</t>
        </is>
      </c>
      <c r="F233" s="13" t="n">
        <v>2.2</v>
      </c>
      <c r="G233" s="35">
        <f>IFERROR(C233*F233,0)</f>
        <v>0.033</v>
      </c>
      <c r="H233" s="15" t="inlineStr">
        <is>
          <t>Salada de acompanhamento.</t>
        </is>
      </c>
    </row>
    <row r="234">
      <c r="A234" s="33" t="inlineStr"/>
      <c r="B234" s="15" t="inlineStr">
        <is>
          <t>Cebola</t>
        </is>
      </c>
      <c r="C234" s="11" t="n">
        <v>0.1</v>
      </c>
      <c r="D234" s="12" t="inlineStr">
        <is>
          <t>unidade</t>
        </is>
      </c>
      <c r="E234" s="34" t="inlineStr">
        <is>
          <t>stock</t>
        </is>
      </c>
      <c r="F234" s="13" t="n">
        <v>0.18</v>
      </c>
      <c r="G234" s="35">
        <f>IFERROR(C234*F234,0)</f>
        <v>0.018</v>
      </c>
      <c r="H234" s="15" t="inlineStr">
        <is>
          <t>Refogado do arroz e da farofa.</t>
        </is>
      </c>
    </row>
    <row r="235">
      <c r="A235" s="33" t="inlineStr"/>
      <c r="B235" s="15" t="inlineStr">
        <is>
          <t>Alho fresco</t>
        </is>
      </c>
      <c r="C235" s="11" t="n">
        <v>0.002</v>
      </c>
      <c r="D235" s="12" t="inlineStr">
        <is>
          <t>kg</t>
        </is>
      </c>
      <c r="E235" s="34" t="inlineStr">
        <is>
          <t>stock</t>
        </is>
      </c>
      <c r="F235" s="13" t="n">
        <v>3.5</v>
      </c>
      <c r="G235" s="35">
        <f>IFERROR(C235*F235,0)</f>
        <v>0.007</v>
      </c>
      <c r="H235" s="15" t="inlineStr">
        <is>
          <t>Refogado do arroz e da farofa.</t>
        </is>
      </c>
    </row>
    <row r="236">
      <c r="A236" s="33" t="inlineStr"/>
      <c r="B236" s="15" t="inlineStr">
        <is>
          <t>Azeite virgem extra</t>
        </is>
      </c>
      <c r="C236" s="11" t="n">
        <v>0.02</v>
      </c>
      <c r="D236" s="12" t="inlineStr">
        <is>
          <t>unidade</t>
        </is>
      </c>
      <c r="E236" s="34" t="inlineStr">
        <is>
          <t>stock</t>
        </is>
      </c>
      <c r="F236" s="13" t="n">
        <v>5</v>
      </c>
      <c r="G236" s="35">
        <f>IFERROR(C236*F236,0)</f>
        <v>0.1</v>
      </c>
      <c r="H236" s="15" t="inlineStr">
        <is>
          <t>Refogados e tempero da salada. ATENÇÃO: unidade "unidade" a 5,00 € — confirmar se é garrafa de 1 L.</t>
        </is>
      </c>
    </row>
    <row r="237">
      <c r="A237" s="33" t="inlineStr"/>
      <c r="B237" s="15" t="inlineStr">
        <is>
          <t>Especiarias base (louro, alho em pó, pimenta preta, sal)</t>
        </is>
      </c>
      <c r="C237" s="11" t="n">
        <v>0.001</v>
      </c>
      <c r="D237" s="12" t="inlineStr">
        <is>
          <t>pacote</t>
        </is>
      </c>
      <c r="E237" s="34" t="inlineStr">
        <is>
          <t>stock</t>
        </is>
      </c>
      <c r="F237" s="13" t="n">
        <v>18</v>
      </c>
      <c r="G237" s="35">
        <f>IFERROR(C237*F237,0)</f>
        <v>0.018</v>
      </c>
      <c r="H237" s="15" t="inlineStr">
        <is>
          <t>Rateio por dose.</t>
        </is>
      </c>
    </row>
    <row r="238">
      <c r="A238" s="36" t="n"/>
      <c r="B238" s="37" t="inlineStr">
        <is>
          <t>CUSTO TOTAL POR DOSE — Frango Ensopado</t>
        </is>
      </c>
      <c r="C238" s="36" t="n"/>
      <c r="D238" s="36" t="n"/>
      <c r="E238" s="36" t="n"/>
      <c r="F238" s="36" t="n"/>
      <c r="G238" s="38">
        <f>SUM(G221:G237)</f>
        <v>2.5208</v>
      </c>
      <c r="H238" s="39" t="inlineStr"/>
    </row>
    <row r="240">
      <c r="A240" s="3" t="inlineStr">
        <is>
          <t>▬ ALMOÇO</t>
        </is>
      </c>
      <c r="B240" s="4" t="n"/>
      <c r="C240" s="4" t="n"/>
      <c r="D240" s="4" t="n"/>
      <c r="E240" s="4" t="n"/>
      <c r="F240" s="4" t="n"/>
      <c r="G240" s="4" t="n"/>
      <c r="H240" s="4" t="n"/>
    </row>
    <row r="241">
      <c r="A241" s="33" t="inlineStr">
        <is>
          <t>Bitoque da Casa</t>
        </is>
      </c>
      <c r="B241" s="15" t="inlineStr">
        <is>
          <t>Bife de vaca (acém/vazia)</t>
        </is>
      </c>
      <c r="C241" s="11" t="n">
        <v>0.18</v>
      </c>
      <c r="D241" s="12" t="inlineStr">
        <is>
          <t>kg</t>
        </is>
      </c>
      <c r="E241" s="34" t="inlineStr">
        <is>
          <t>stock</t>
        </is>
      </c>
      <c r="F241" s="13" t="n">
        <v>13.5</v>
      </c>
      <c r="G241" s="35">
        <f>IFERROR(C241*F241,0)</f>
        <v>2.43</v>
      </c>
      <c r="H241" s="15" t="inlineStr"/>
    </row>
    <row r="242">
      <c r="A242" s="33" t="inlineStr"/>
      <c r="B242" s="15" t="inlineStr">
        <is>
          <t>Ovos</t>
        </is>
      </c>
      <c r="C242" s="11" t="n">
        <v>1</v>
      </c>
      <c r="D242" s="12" t="inlineStr">
        <is>
          <t>unidade</t>
        </is>
      </c>
      <c r="E242" s="34" t="inlineStr">
        <is>
          <t>stock</t>
        </is>
      </c>
      <c r="F242" s="13" t="n">
        <v>0.22</v>
      </c>
      <c r="G242" s="35">
        <f>IFERROR(C242*F242,0)</f>
        <v>0.22</v>
      </c>
      <c r="H242" s="15" t="inlineStr">
        <is>
          <t>Estrelado.</t>
        </is>
      </c>
    </row>
    <row r="243">
      <c r="A243" s="33" t="inlineStr"/>
      <c r="B243" s="15" t="inlineStr">
        <is>
          <t>Batata</t>
        </is>
      </c>
      <c r="C243" s="11" t="n">
        <v>0.2</v>
      </c>
      <c r="D243" s="12" t="inlineStr">
        <is>
          <t>kg</t>
        </is>
      </c>
      <c r="E243" s="34" t="inlineStr">
        <is>
          <t>stock</t>
        </is>
      </c>
      <c r="F243" s="13" t="n">
        <v>0.9</v>
      </c>
      <c r="G243" s="35">
        <f>IFERROR(C243*F243,0)</f>
        <v>0.18</v>
      </c>
      <c r="H243" s="15" t="inlineStr">
        <is>
          <t>Fritura dupla.</t>
        </is>
      </c>
    </row>
    <row r="244">
      <c r="A244" s="33" t="inlineStr"/>
      <c r="B244" s="15" t="inlineStr">
        <is>
          <t>Óleo de fritura (girassol)</t>
        </is>
      </c>
      <c r="C244" s="11" t="n">
        <v>0.01</v>
      </c>
      <c r="D244" s="12" t="inlineStr">
        <is>
          <t>litro</t>
        </is>
      </c>
      <c r="E244" s="34" t="inlineStr">
        <is>
          <t>stock</t>
        </is>
      </c>
      <c r="F244" s="13" t="n">
        <v>1.6</v>
      </c>
      <c r="G244" s="35">
        <f>IFERROR(C244*F244,0)</f>
        <v>0.016</v>
      </c>
      <c r="H244" s="15" t="inlineStr"/>
    </row>
    <row r="245">
      <c r="A245" s="33" t="inlineStr"/>
      <c r="B245" s="15" t="inlineStr">
        <is>
          <t>Arroz agulha</t>
        </is>
      </c>
      <c r="C245" s="11" t="n">
        <v>0.05</v>
      </c>
      <c r="D245" s="12" t="inlineStr">
        <is>
          <t>kg</t>
        </is>
      </c>
      <c r="E245" s="34" t="inlineStr">
        <is>
          <t>stock</t>
        </is>
      </c>
      <c r="F245" s="13" t="n">
        <v>1.1</v>
      </c>
      <c r="G245" s="35">
        <f>IFERROR(C245*F245,0)</f>
        <v>0.055</v>
      </c>
      <c r="H245" s="15" t="inlineStr">
        <is>
          <t>Peso SECO.</t>
        </is>
      </c>
    </row>
    <row r="246">
      <c r="A246" s="33" t="inlineStr"/>
      <c r="B246" s="15" t="inlineStr">
        <is>
          <t>Manteiga</t>
        </is>
      </c>
      <c r="C246" s="11" t="n">
        <v>0.25</v>
      </c>
      <c r="D246" s="12" t="inlineStr">
        <is>
          <t>porção</t>
        </is>
      </c>
      <c r="E246" s="34" t="inlineStr">
        <is>
          <t>stock</t>
        </is>
      </c>
      <c r="F246" s="13" t="n">
        <v>0.12</v>
      </c>
      <c r="G246" s="35">
        <f>IFERROR(C246*F246,0)</f>
        <v>0.03</v>
      </c>
      <c r="H246" s="15" t="inlineStr">
        <is>
          <t>Molho da casa.</t>
        </is>
      </c>
    </row>
    <row r="247">
      <c r="A247" s="33" t="inlineStr"/>
      <c r="B247" s="15" t="inlineStr">
        <is>
          <t>Alho fresco</t>
        </is>
      </c>
      <c r="C247" s="11" t="n">
        <v>0.002</v>
      </c>
      <c r="D247" s="12" t="inlineStr">
        <is>
          <t>kg</t>
        </is>
      </c>
      <c r="E247" s="34" t="inlineStr">
        <is>
          <t>stock</t>
        </is>
      </c>
      <c r="F247" s="13" t="n">
        <v>3.5</v>
      </c>
      <c r="G247" s="35">
        <f>IFERROR(C247*F247,0)</f>
        <v>0.007</v>
      </c>
      <c r="H247" s="15" t="inlineStr">
        <is>
          <t>Molho da casa.</t>
        </is>
      </c>
    </row>
    <row r="248">
      <c r="A248" s="33" t="inlineStr"/>
      <c r="B248" s="15" t="inlineStr">
        <is>
          <t>Vinho branco de cozinha</t>
        </is>
      </c>
      <c r="C248" s="11" t="n">
        <v>0.04</v>
      </c>
      <c r="D248" s="12" t="inlineStr">
        <is>
          <t>litro</t>
        </is>
      </c>
      <c r="E248" s="34" t="inlineStr">
        <is>
          <t>stock</t>
        </is>
      </c>
      <c r="F248" s="13" t="n">
        <v>1.4</v>
      </c>
      <c r="G248" s="35">
        <f>IFERROR(C248*F248,0)</f>
        <v>0.056</v>
      </c>
      <c r="H248" s="15" t="inlineStr">
        <is>
          <t>Molho da casa.</t>
        </is>
      </c>
    </row>
    <row r="249">
      <c r="A249" s="33" t="inlineStr"/>
      <c r="B249" s="15" t="inlineStr">
        <is>
          <t>Mostarda</t>
        </is>
      </c>
      <c r="C249" s="11" t="n">
        <v>0.01</v>
      </c>
      <c r="D249" s="12" t="inlineStr">
        <is>
          <t>kg</t>
        </is>
      </c>
      <c r="E249" s="34" t="inlineStr">
        <is>
          <t>stock</t>
        </is>
      </c>
      <c r="F249" s="13" t="n">
        <v>3.5</v>
      </c>
      <c r="G249" s="35">
        <f>IFERROR(C249*F249,0)</f>
        <v>0.035</v>
      </c>
      <c r="H249" s="15" t="inlineStr">
        <is>
          <t>Molho da casa.</t>
        </is>
      </c>
    </row>
    <row r="250">
      <c r="A250" s="33" t="inlineStr"/>
      <c r="B250" s="15" t="inlineStr">
        <is>
          <t>Azeite virgem extra</t>
        </is>
      </c>
      <c r="C250" s="11" t="n">
        <v>0.005</v>
      </c>
      <c r="D250" s="12" t="inlineStr">
        <is>
          <t>unidade</t>
        </is>
      </c>
      <c r="E250" s="34" t="inlineStr">
        <is>
          <t>stock</t>
        </is>
      </c>
      <c r="F250" s="13" t="n">
        <v>5</v>
      </c>
      <c r="G250" s="35">
        <f>IFERROR(C250*F250,0)</f>
        <v>0.025</v>
      </c>
      <c r="H250" s="15" t="inlineStr"/>
    </row>
    <row r="251">
      <c r="A251" s="33" t="inlineStr"/>
      <c r="B251" s="15" t="inlineStr">
        <is>
          <t>Guaraná Antarctica 33 cl</t>
        </is>
      </c>
      <c r="C251" s="11" t="n">
        <v>1</v>
      </c>
      <c r="D251" s="12" t="inlineStr">
        <is>
          <t>unidade</t>
        </is>
      </c>
      <c r="E251" s="34" t="inlineStr">
        <is>
          <t>stock</t>
        </is>
      </c>
      <c r="F251" s="13" t="n">
        <v>0.8</v>
      </c>
      <c r="G251" s="35">
        <f>IFERROR(C251*F251,0)</f>
        <v>0.8</v>
      </c>
      <c r="H251" s="15" t="inlineStr">
        <is>
          <t>BEBIDA INCLUÍDA no preço. Usei o refrigerante mais caro — pior caso.</t>
        </is>
      </c>
    </row>
    <row r="252">
      <c r="A252" s="33" t="inlineStr"/>
      <c r="B252" s="15" t="inlineStr">
        <is>
          <t>Café moído</t>
        </is>
      </c>
      <c r="C252" s="11" t="n">
        <v>1</v>
      </c>
      <c r="D252" s="12" t="inlineStr">
        <is>
          <t>dose</t>
        </is>
      </c>
      <c r="E252" s="34" t="inlineStr">
        <is>
          <t>stock</t>
        </is>
      </c>
      <c r="F252" s="13" t="n">
        <v>0.12</v>
      </c>
      <c r="G252" s="35">
        <f>IFERROR(C252*F252,0)</f>
        <v>0.12</v>
      </c>
      <c r="H252" s="15" t="inlineStr">
        <is>
          <t>CAFÉ INCLUÍDO no preço.</t>
        </is>
      </c>
    </row>
    <row r="253">
      <c r="A253" s="36" t="n"/>
      <c r="B253" s="37" t="inlineStr">
        <is>
          <t>CUSTO TOTAL POR DOSE — Bitoque da Casa</t>
        </is>
      </c>
      <c r="C253" s="36" t="n"/>
      <c r="D253" s="36" t="n"/>
      <c r="E253" s="36" t="n"/>
      <c r="F253" s="36" t="n"/>
      <c r="G253" s="38">
        <f>SUM(G241:G252)</f>
        <v>3.974</v>
      </c>
      <c r="H253" s="39" t="inlineStr">
        <is>
          <t>A ementa diz "inclui bebida e café". Se isso não entrar na ficha, o food cost está errado em 6,8 pontos.</t>
        </is>
      </c>
    </row>
    <row r="255">
      <c r="A255" s="3" t="inlineStr">
        <is>
          <t>▬ PETISCOS</t>
        </is>
      </c>
      <c r="B255" s="4" t="n"/>
      <c r="C255" s="4" t="n"/>
      <c r="D255" s="4" t="n"/>
      <c r="E255" s="4" t="n"/>
      <c r="F255" s="4" t="n"/>
      <c r="G255" s="4" t="n"/>
      <c r="H255" s="4" t="n"/>
    </row>
    <row r="256">
      <c r="A256" s="33" t="inlineStr">
        <is>
          <t>Pica-Pau</t>
        </is>
      </c>
      <c r="B256" s="15" t="inlineStr">
        <is>
          <t>Lombo de porco (Pica-Pau)</t>
        </is>
      </c>
      <c r="C256" s="11" t="n">
        <v>0.16</v>
      </c>
      <c r="D256" s="12" t="inlineStr">
        <is>
          <t>kg</t>
        </is>
      </c>
      <c r="E256" s="34" t="inlineStr">
        <is>
          <t>stock</t>
        </is>
      </c>
      <c r="F256" s="13" t="n">
        <v>8</v>
      </c>
      <c r="G256" s="35">
        <f>IFERROR(C256*F256,0)</f>
        <v>1.28</v>
      </c>
      <c r="H256" s="15" t="inlineStr">
        <is>
          <t>Cubos de 2 cm.</t>
        </is>
      </c>
    </row>
    <row r="257">
      <c r="A257" s="33" t="inlineStr"/>
      <c r="B257" s="15" t="inlineStr">
        <is>
          <t>Alho fresco</t>
        </is>
      </c>
      <c r="C257" s="11" t="n">
        <v>0.008</v>
      </c>
      <c r="D257" s="12" t="inlineStr">
        <is>
          <t>kg</t>
        </is>
      </c>
      <c r="E257" s="34" t="inlineStr">
        <is>
          <t>stock</t>
        </is>
      </c>
      <c r="F257" s="13" t="n">
        <v>3.5</v>
      </c>
      <c r="G257" s="35">
        <f>IFERROR(C257*F257,0)</f>
        <v>0.028</v>
      </c>
      <c r="H257" s="15" t="inlineStr"/>
    </row>
    <row r="258">
      <c r="A258" s="33" t="inlineStr"/>
      <c r="B258" s="15" t="inlineStr">
        <is>
          <t>Vinho branco de cozinha</t>
        </is>
      </c>
      <c r="C258" s="11" t="n">
        <v>0.05</v>
      </c>
      <c r="D258" s="12" t="inlineStr">
        <is>
          <t>litro</t>
        </is>
      </c>
      <c r="E258" s="34" t="inlineStr">
        <is>
          <t>stock</t>
        </is>
      </c>
      <c r="F258" s="13" t="n">
        <v>1.4</v>
      </c>
      <c r="G258" s="35">
        <f>IFERROR(C258*F258,0)</f>
        <v>0.07</v>
      </c>
      <c r="H258" s="15" t="inlineStr">
        <is>
          <t>Deglaçar.</t>
        </is>
      </c>
    </row>
    <row r="259">
      <c r="A259" s="33" t="inlineStr"/>
      <c r="B259" s="15" t="inlineStr">
        <is>
          <t>Mostarda</t>
        </is>
      </c>
      <c r="C259" s="11" t="n">
        <v>0.012</v>
      </c>
      <c r="D259" s="12" t="inlineStr">
        <is>
          <t>kg</t>
        </is>
      </c>
      <c r="E259" s="34" t="inlineStr">
        <is>
          <t>stock</t>
        </is>
      </c>
      <c r="F259" s="13" t="n">
        <v>3.5</v>
      </c>
      <c r="G259" s="35">
        <f>IFERROR(C259*F259,0)</f>
        <v>0.042</v>
      </c>
      <c r="H259" s="15" t="inlineStr"/>
    </row>
    <row r="260">
      <c r="A260" s="33" t="inlineStr"/>
      <c r="B260" s="15" t="inlineStr">
        <is>
          <t>Pepino de conserva</t>
        </is>
      </c>
      <c r="C260" s="11" t="n">
        <v>0.04</v>
      </c>
      <c r="D260" s="12" t="inlineStr">
        <is>
          <t>kg</t>
        </is>
      </c>
      <c r="E260" s="34" t="inlineStr">
        <is>
          <t>stock</t>
        </is>
      </c>
      <c r="F260" s="13" t="n">
        <v>2.4</v>
      </c>
      <c r="G260" s="35">
        <f>IFERROR(C260*F260,0)</f>
        <v>0.096</v>
      </c>
      <c r="H260" s="15" t="inlineStr"/>
    </row>
    <row r="261">
      <c r="A261" s="33" t="inlineStr"/>
      <c r="B261" s="15" t="inlineStr">
        <is>
          <t>Manteiga</t>
        </is>
      </c>
      <c r="C261" s="11" t="n">
        <v>0.15</v>
      </c>
      <c r="D261" s="12" t="inlineStr">
        <is>
          <t>porção</t>
        </is>
      </c>
      <c r="E261" s="34" t="inlineStr">
        <is>
          <t>stock</t>
        </is>
      </c>
      <c r="F261" s="13" t="n">
        <v>0.12</v>
      </c>
      <c r="G261" s="35">
        <f>IFERROR(C261*F261,0)</f>
        <v>0.018</v>
      </c>
      <c r="H261" s="15" t="inlineStr">
        <is>
          <t>Montar o molho.</t>
        </is>
      </c>
    </row>
    <row r="262">
      <c r="A262" s="33" t="inlineStr"/>
      <c r="B262" s="15" t="inlineStr">
        <is>
          <t>Azeite virgem extra</t>
        </is>
      </c>
      <c r="C262" s="11" t="n">
        <v>0.008</v>
      </c>
      <c r="D262" s="12" t="inlineStr">
        <is>
          <t>unidade</t>
        </is>
      </c>
      <c r="E262" s="34" t="inlineStr">
        <is>
          <t>stock</t>
        </is>
      </c>
      <c r="F262" s="13" t="n">
        <v>5</v>
      </c>
      <c r="G262" s="35">
        <f>IFERROR(C262*F262,0)</f>
        <v>0.04</v>
      </c>
      <c r="H262" s="15" t="inlineStr"/>
    </row>
    <row r="263">
      <c r="A263" s="33" t="inlineStr"/>
      <c r="B263" s="15" t="inlineStr">
        <is>
          <t>Pão para Pica-Pau / acompanhamento</t>
        </is>
      </c>
      <c r="C263" s="11" t="n">
        <v>1</v>
      </c>
      <c r="D263" s="12" t="inlineStr">
        <is>
          <t>unidade</t>
        </is>
      </c>
      <c r="E263" s="34" t="inlineStr">
        <is>
          <t>stock</t>
        </is>
      </c>
      <c r="F263" s="13" t="n">
        <v>0.6</v>
      </c>
      <c r="G263" s="35">
        <f>IFERROR(C263*F263,0)</f>
        <v>0.6</v>
      </c>
      <c r="H263" s="15" t="inlineStr"/>
    </row>
    <row r="264">
      <c r="A264" s="36" t="n"/>
      <c r="B264" s="37" t="inlineStr">
        <is>
          <t>CUSTO TOTAL POR DOSE — Pica-Pau</t>
        </is>
      </c>
      <c r="C264" s="36" t="n"/>
      <c r="D264" s="36" t="n"/>
      <c r="E264" s="36" t="n"/>
      <c r="F264" s="36" t="n"/>
      <c r="G264" s="38">
        <f>SUM(G256:G263)</f>
        <v>2.174</v>
      </c>
      <c r="H264" s="39" t="inlineStr"/>
    </row>
    <row r="266">
      <c r="A266" s="33" t="inlineStr">
        <is>
          <t>Tábua da Casa</t>
        </is>
      </c>
      <c r="B266" s="15" t="inlineStr">
        <is>
          <t>Queijo da Serra (meia cura)</t>
        </is>
      </c>
      <c r="C266" s="11" t="n">
        <v>0.06</v>
      </c>
      <c r="D266" s="12" t="inlineStr">
        <is>
          <t>kg</t>
        </is>
      </c>
      <c r="E266" s="34" t="inlineStr">
        <is>
          <t>stock</t>
        </is>
      </c>
      <c r="F266" s="13" t="n">
        <v>20</v>
      </c>
      <c r="G266" s="35">
        <f>IFERROR(C266*F266,0)</f>
        <v>1.2</v>
      </c>
      <c r="H266" s="15" t="inlineStr"/>
    </row>
    <row r="267">
      <c r="A267" s="33" t="inlineStr"/>
      <c r="B267" s="15" t="inlineStr">
        <is>
          <t>Queijo de Azeitão</t>
        </is>
      </c>
      <c r="C267" s="11" t="n">
        <v>0.06</v>
      </c>
      <c r="D267" s="12" t="inlineStr">
        <is>
          <t>kg</t>
        </is>
      </c>
      <c r="E267" s="34" t="inlineStr">
        <is>
          <t>stock</t>
        </is>
      </c>
      <c r="F267" s="13" t="n">
        <v>26</v>
      </c>
      <c r="G267" s="35">
        <f>IFERROR(C267*F267,0)</f>
        <v>1.56</v>
      </c>
      <c r="H267" s="15" t="inlineStr"/>
    </row>
    <row r="268">
      <c r="A268" s="33" t="inlineStr"/>
      <c r="B268" s="15" t="inlineStr">
        <is>
          <t>Presunto fatiado</t>
        </is>
      </c>
      <c r="C268" s="11" t="n">
        <v>0.06</v>
      </c>
      <c r="D268" s="12" t="inlineStr">
        <is>
          <t>kg</t>
        </is>
      </c>
      <c r="E268" s="34" t="inlineStr">
        <is>
          <t>stock</t>
        </is>
      </c>
      <c r="F268" s="13" t="n">
        <v>24</v>
      </c>
      <c r="G268" s="35">
        <f>IFERROR(C268*F268,0)</f>
        <v>1.44</v>
      </c>
      <c r="H268" s="15" t="inlineStr"/>
    </row>
    <row r="269">
      <c r="A269" s="33" t="inlineStr"/>
      <c r="B269" s="15" t="inlineStr">
        <is>
          <t>Chouriço de carne</t>
        </is>
      </c>
      <c r="C269" s="11" t="n">
        <v>0.05</v>
      </c>
      <c r="D269" s="12" t="inlineStr">
        <is>
          <t>kg</t>
        </is>
      </c>
      <c r="E269" s="34" t="inlineStr">
        <is>
          <t>stock</t>
        </is>
      </c>
      <c r="F269" s="13" t="n">
        <v>15</v>
      </c>
      <c r="G269" s="35">
        <f>IFERROR(C269*F269,0)</f>
        <v>0.75</v>
      </c>
      <c r="H269" s="15" t="inlineStr"/>
    </row>
    <row r="270">
      <c r="A270" s="33" t="inlineStr"/>
      <c r="B270" s="15" t="inlineStr">
        <is>
          <t>Paio</t>
        </is>
      </c>
      <c r="C270" s="11" t="n">
        <v>0.05</v>
      </c>
      <c r="D270" s="12" t="inlineStr">
        <is>
          <t>kg</t>
        </is>
      </c>
      <c r="E270" s="34" t="inlineStr">
        <is>
          <t>stock</t>
        </is>
      </c>
      <c r="F270" s="13" t="n">
        <v>18.33</v>
      </c>
      <c r="G270" s="35">
        <f>IFERROR(C270*F270,0)</f>
        <v>0.9165</v>
      </c>
      <c r="H270" s="15" t="inlineStr"/>
    </row>
    <row r="271">
      <c r="A271" s="33" t="inlineStr"/>
      <c r="B271" s="15" t="inlineStr">
        <is>
          <t>Marmelada</t>
        </is>
      </c>
      <c r="C271" s="11" t="n">
        <v>0.04</v>
      </c>
      <c r="D271" s="12" t="inlineStr">
        <is>
          <t>kg</t>
        </is>
      </c>
      <c r="E271" s="34" t="inlineStr">
        <is>
          <t>stock</t>
        </is>
      </c>
      <c r="F271" s="13" t="n">
        <v>5</v>
      </c>
      <c r="G271" s="35">
        <f>IFERROR(C271*F271,0)</f>
        <v>0.2</v>
      </c>
      <c r="H271" s="15" t="inlineStr"/>
    </row>
    <row r="272">
      <c r="A272" s="33" t="inlineStr"/>
      <c r="B272" s="15" t="inlineStr">
        <is>
          <t>Pão para Pica-Pau / acompanhamento</t>
        </is>
      </c>
      <c r="C272" s="11" t="n">
        <v>1</v>
      </c>
      <c r="D272" s="12" t="inlineStr">
        <is>
          <t>unidade</t>
        </is>
      </c>
      <c r="E272" s="34" t="inlineStr">
        <is>
          <t>stock</t>
        </is>
      </c>
      <c r="F272" s="13" t="n">
        <v>0.6</v>
      </c>
      <c r="G272" s="35">
        <f>IFERROR(C272*F272,0)</f>
        <v>0.6</v>
      </c>
      <c r="H272" s="15" t="inlineStr">
        <is>
          <t>Torrado, servido à parte.</t>
        </is>
      </c>
    </row>
    <row r="273">
      <c r="A273" s="36" t="n"/>
      <c r="B273" s="37" t="inlineStr">
        <is>
          <t>CUSTO TOTAL POR DOSE — Tábua da Casa</t>
        </is>
      </c>
      <c r="C273" s="36" t="n"/>
      <c r="D273" s="36" t="n"/>
      <c r="E273" s="36" t="n"/>
      <c r="F273" s="36" t="n"/>
      <c r="G273" s="38">
        <f>SUM(G266:G272)</f>
        <v>6.6665</v>
      </c>
      <c r="H273" s="39" t="inlineStr">
        <is>
          <t>É o prato de pior food cost dos que custeei. Ver folha de Food Cost.</t>
        </is>
      </c>
    </row>
    <row r="275">
      <c r="A275" s="3" t="inlineStr">
        <is>
          <t>▬ ENTRADA</t>
        </is>
      </c>
      <c r="B275" s="4" t="n"/>
      <c r="C275" s="4" t="n"/>
      <c r="D275" s="4" t="n"/>
      <c r="E275" s="4" t="n"/>
      <c r="F275" s="4" t="n"/>
      <c r="G275" s="4" t="n"/>
      <c r="H275" s="4" t="n"/>
    </row>
    <row r="276">
      <c r="A276" s="33" t="inlineStr">
        <is>
          <t>Azeitonas Temperadas</t>
        </is>
      </c>
      <c r="B276" s="27" t="inlineStr">
        <is>
          <t>Azeitonas</t>
        </is>
      </c>
      <c r="C276" s="11" t="n">
        <v>0.08</v>
      </c>
      <c r="D276" s="12" t="inlineStr">
        <is>
          <t>kg</t>
        </is>
      </c>
      <c r="E276" s="40" t="inlineStr">
        <is>
          <t>A CRIAR</t>
        </is>
      </c>
      <c r="F276" s="13" t="n">
        <v>5</v>
      </c>
      <c r="G276" s="35">
        <f>IFERROR(C276*F276,0)</f>
        <v>0.4</v>
      </c>
      <c r="H276" s="15" t="inlineStr">
        <is>
          <t>ITEM A CRIAR.</t>
        </is>
      </c>
    </row>
    <row r="277">
      <c r="A277" s="33" t="inlineStr"/>
      <c r="B277" s="15" t="inlineStr">
        <is>
          <t>Alho fresco</t>
        </is>
      </c>
      <c r="C277" s="11" t="n">
        <v>0.002</v>
      </c>
      <c r="D277" s="12" t="inlineStr">
        <is>
          <t>kg</t>
        </is>
      </c>
      <c r="E277" s="34" t="inlineStr">
        <is>
          <t>stock</t>
        </is>
      </c>
      <c r="F277" s="13" t="n">
        <v>3.5</v>
      </c>
      <c r="G277" s="35">
        <f>IFERROR(C277*F277,0)</f>
        <v>0.007</v>
      </c>
      <c r="H277" s="15" t="inlineStr"/>
    </row>
    <row r="278">
      <c r="A278" s="33" t="inlineStr"/>
      <c r="B278" s="27" t="inlineStr">
        <is>
          <t>Orégãos</t>
        </is>
      </c>
      <c r="C278" s="11" t="n">
        <v>0.001</v>
      </c>
      <c r="D278" s="12" t="inlineStr">
        <is>
          <t>kg</t>
        </is>
      </c>
      <c r="E278" s="40" t="inlineStr">
        <is>
          <t>A CRIAR</t>
        </is>
      </c>
      <c r="F278" s="13" t="n">
        <v>14</v>
      </c>
      <c r="G278" s="35">
        <f>IFERROR(C278*F278,0)</f>
        <v>0.014</v>
      </c>
      <c r="H278" s="15" t="inlineStr">
        <is>
          <t>ITEM A CRIAR. Alternativa: Especiarias base.</t>
        </is>
      </c>
    </row>
    <row r="279">
      <c r="A279" s="33" t="inlineStr"/>
      <c r="B279" s="15" t="inlineStr">
        <is>
          <t>Azeite virgem extra</t>
        </is>
      </c>
      <c r="C279" s="11" t="n">
        <v>0.005</v>
      </c>
      <c r="D279" s="12" t="inlineStr">
        <is>
          <t>unidade</t>
        </is>
      </c>
      <c r="E279" s="34" t="inlineStr">
        <is>
          <t>stock</t>
        </is>
      </c>
      <c r="F279" s="13" t="n">
        <v>5</v>
      </c>
      <c r="G279" s="35">
        <f>IFERROR(C279*F279,0)</f>
        <v>0.025</v>
      </c>
      <c r="H279" s="15" t="inlineStr"/>
    </row>
    <row r="280">
      <c r="A280" s="36" t="n"/>
      <c r="B280" s="37" t="inlineStr">
        <is>
          <t>CUSTO TOTAL POR DOSE — Azeitonas Temperadas</t>
        </is>
      </c>
      <c r="C280" s="36" t="n"/>
      <c r="D280" s="36" t="n"/>
      <c r="E280" s="36" t="n"/>
      <c r="F280" s="36" t="n"/>
      <c r="G280" s="38">
        <f>SUM(G276:G279)</f>
        <v>0.446</v>
      </c>
      <c r="H280" s="39" t="inlineStr">
        <is>
          <t>Temperar em lote de manhã. Marinam melhor ao fim de algumas horas.</t>
        </is>
      </c>
    </row>
    <row r="282">
      <c r="A282" s="33" t="inlineStr">
        <is>
          <t>Tremoços</t>
        </is>
      </c>
      <c r="B282" s="27" t="inlineStr">
        <is>
          <t>Tremoços</t>
        </is>
      </c>
      <c r="C282" s="11" t="n">
        <v>0.1</v>
      </c>
      <c r="D282" s="12" t="inlineStr">
        <is>
          <t>kg</t>
        </is>
      </c>
      <c r="E282" s="40" t="inlineStr">
        <is>
          <t>A CRIAR</t>
        </is>
      </c>
      <c r="F282" s="13" t="n">
        <v>2.8</v>
      </c>
      <c r="G282" s="35">
        <f>IFERROR(C282*F282,0)</f>
        <v>0.28</v>
      </c>
      <c r="H282" s="15" t="inlineStr">
        <is>
          <t>ITEM A CRIAR. Vem em salmoura — escorrer e lavar.</t>
        </is>
      </c>
    </row>
    <row r="283">
      <c r="A283" s="36" t="n"/>
      <c r="B283" s="37" t="inlineStr">
        <is>
          <t>CUSTO TOTAL POR DOSE — Tremoços</t>
        </is>
      </c>
      <c r="C283" s="36" t="n"/>
      <c r="D283" s="36" t="n"/>
      <c r="E283" s="36" t="n"/>
      <c r="F283" s="36" t="n"/>
      <c r="G283" s="38">
        <f>SUM(G282:G282)</f>
        <v>0.28</v>
      </c>
      <c r="H283" s="39" t="inlineStr"/>
    </row>
    <row r="285">
      <c r="A285" s="3" t="inlineStr">
        <is>
          <t>▬ PEQUENO-ALMOÇO</t>
        </is>
      </c>
      <c r="B285" s="4" t="n"/>
      <c r="C285" s="4" t="n"/>
      <c r="D285" s="4" t="n"/>
      <c r="E285" s="4" t="n"/>
      <c r="F285" s="4" t="n"/>
      <c r="G285" s="4" t="n"/>
      <c r="H285" s="4" t="n"/>
    </row>
    <row r="286">
      <c r="A286" s="33" t="inlineStr">
        <is>
          <t>Bolo da Dona Célia (fatia)</t>
        </is>
      </c>
      <c r="B286" s="27" t="inlineStr">
        <is>
          <t>Bolo da Dona Célia (fatia)</t>
        </is>
      </c>
      <c r="C286" s="11" t="n">
        <v>1</v>
      </c>
      <c r="D286" s="12" t="inlineStr">
        <is>
          <t>unidade</t>
        </is>
      </c>
      <c r="E286" s="40" t="inlineStr">
        <is>
          <t>A CRIAR</t>
        </is>
      </c>
      <c r="F286" s="13" t="n">
        <v>0.7</v>
      </c>
      <c r="G286" s="35">
        <f>IFERROR(C286*F286,0)</f>
        <v>0.7</v>
      </c>
      <c r="H286" s="15" t="inlineStr">
        <is>
          <t>ITEM A CRIAR. Produção externa — comprar à fatia ou ao bolo inteiro?</t>
        </is>
      </c>
    </row>
    <row r="287">
      <c r="A287" s="36" t="n"/>
      <c r="B287" s="37" t="inlineStr">
        <is>
          <t>CUSTO TOTAL POR DOSE — Bolo da Dona Célia (fatia)</t>
        </is>
      </c>
      <c r="C287" s="36" t="n"/>
      <c r="D287" s="36" t="n"/>
      <c r="E287" s="36" t="n"/>
      <c r="F287" s="36" t="n"/>
      <c r="G287" s="38">
        <f>SUM(G286:G286)</f>
        <v>0.7</v>
      </c>
      <c r="H287" s="39" t="inlineStr">
        <is>
          <t>BLOQUEADO: se for produção externa, precisa de ficha de alergénios do produtor e rastreabilidade HACCP.</t>
        </is>
      </c>
    </row>
    <row r="289">
      <c r="A289" s="3" t="inlineStr">
        <is>
          <t>▬ BEBIDAS</t>
        </is>
      </c>
      <c r="B289" s="4" t="n"/>
      <c r="C289" s="4" t="n"/>
      <c r="D289" s="4" t="n"/>
      <c r="E289" s="4" t="n"/>
      <c r="F289" s="4" t="n"/>
      <c r="G289" s="4" t="n"/>
      <c r="H289" s="4" t="n"/>
    </row>
    <row r="290">
      <c r="A290" s="33" t="inlineStr">
        <is>
          <t>Heineken (imperial)</t>
        </is>
      </c>
      <c r="B290" s="15" t="inlineStr">
        <is>
          <t>Barril Heineken 50L</t>
        </is>
      </c>
      <c r="C290" s="11" t="n">
        <v>0.2</v>
      </c>
      <c r="D290" s="12" t="inlineStr">
        <is>
          <t>litro</t>
        </is>
      </c>
      <c r="E290" s="34" t="inlineStr">
        <is>
          <t>stock</t>
        </is>
      </c>
      <c r="F290" s="13" t="n">
        <v>2.3</v>
      </c>
      <c r="G290" s="35">
        <f>IFERROR(C290*F290,0)</f>
        <v>0.46</v>
      </c>
      <c r="H290" s="15" t="inlineStr">
        <is>
          <t>Imperial de 20 cl. Um barril de 50 L dá 250 imperiais.</t>
        </is>
      </c>
    </row>
    <row r="291">
      <c r="A291" s="36" t="n"/>
      <c r="B291" s="37" t="inlineStr">
        <is>
          <t>CUSTO TOTAL POR DOSE — Heineken (imperial)</t>
        </is>
      </c>
      <c r="C291" s="36" t="n"/>
      <c r="D291" s="36" t="n"/>
      <c r="E291" s="36" t="n"/>
      <c r="F291" s="36" t="n"/>
      <c r="G291" s="38">
        <f>SUM(G290:G290)</f>
        <v>0.46</v>
      </c>
      <c r="H291" s="39" t="inlineStr">
        <is>
          <t>Não contabilizei perda de barril. Contar 5-8% de perda em espuma e limpeza de linha.</t>
        </is>
      </c>
    </row>
    <row r="293">
      <c r="A293" s="33" t="inlineStr">
        <is>
          <t>Copo Cheio (IPA da casa)</t>
        </is>
      </c>
      <c r="B293" s="15" t="inlineStr">
        <is>
          <t>Cerveja da casa — IPA (Copo Cheio)</t>
        </is>
      </c>
      <c r="C293" s="11" t="n">
        <v>0.33</v>
      </c>
      <c r="D293" s="12" t="inlineStr">
        <is>
          <t>litro</t>
        </is>
      </c>
      <c r="E293" s="34" t="inlineStr">
        <is>
          <t>stock</t>
        </is>
      </c>
      <c r="F293" s="41" t="n"/>
      <c r="G293" s="35">
        <f>IFERROR(C293*F293,0)</f>
        <v>0.0</v>
      </c>
      <c r="H293" s="15" t="inlineStr">
        <is>
          <t>Copo de 33 cl.</t>
        </is>
      </c>
    </row>
    <row r="294">
      <c r="A294" s="36" t="n"/>
      <c r="B294" s="37" t="inlineStr">
        <is>
          <t>CUSTO TOTAL POR DOSE — Copo Cheio (IPA da casa)</t>
        </is>
      </c>
      <c r="C294" s="36" t="n"/>
      <c r="D294" s="36" t="n"/>
      <c r="E294" s="36" t="n"/>
      <c r="F294" s="36" t="n"/>
      <c r="G294" s="38">
        <f>SUM(G293:G293)</f>
        <v>0.0</v>
      </c>
      <c r="H294" s="39" t="inlineStr">
        <is>
          <t>NÃO CUSTEÁVEL: o item existe em stock mas está sem custo. Sem o custo de produção por litro não valido este preço nem os combos com jarro.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14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3" customWidth="1" min="8" max="8"/>
    <col width="58" customWidth="1" min="9" max="9"/>
  </cols>
  <sheetData>
    <row r="1">
      <c r="A1" s="42" t="inlineStr">
        <is>
          <t>FOOD COST E MARGEM — contra a grelha de preços, não contra os 8,40 € da BD</t>
        </is>
      </c>
      <c r="B1" s="8" t="n"/>
      <c r="C1" s="8" t="n"/>
      <c r="D1" s="8" t="n"/>
      <c r="E1" s="8" t="n"/>
      <c r="F1" s="8" t="n"/>
      <c r="G1" s="8" t="n"/>
      <c r="H1" s="8" t="n"/>
      <c r="I1" s="8" t="n"/>
    </row>
    <row r="2">
      <c r="A2" s="2" t="inlineStr">
        <is>
          <t>Custo de ingrediente apenas. Não inclui mão-de-obra, energia nem quebras — contar +7 a 10 pontos no food cost real.</t>
        </is>
      </c>
    </row>
    <row r="4" ht="28" customHeight="1">
      <c r="A4" s="32" t="inlineStr">
        <is>
          <t>Prato</t>
        </is>
      </c>
      <c r="B4" s="32" t="inlineStr">
        <is>
          <t>Categoria</t>
        </is>
      </c>
      <c r="C4" s="32" t="inlineStr">
        <is>
          <t>PVP grelha</t>
        </is>
      </c>
      <c r="D4" s="32" t="inlineStr">
        <is>
          <t>Custo/dose</t>
        </is>
      </c>
      <c r="E4" s="32" t="inlineStr">
        <is>
          <t>Food cost</t>
        </is>
      </c>
      <c r="F4" s="32" t="inlineStr">
        <is>
          <t>Margem €</t>
        </is>
      </c>
      <c r="G4" s="32" t="inlineStr">
        <is>
          <t>FC se 8,40 €</t>
        </is>
      </c>
      <c r="H4" s="32" t="inlineStr">
        <is>
          <t>Estado</t>
        </is>
      </c>
      <c r="I4" s="32" t="inlineStr">
        <is>
          <t>Leitura</t>
        </is>
      </c>
    </row>
    <row r="5">
      <c r="A5" s="10" t="inlineStr">
        <is>
          <t>Bife Acebolado</t>
        </is>
      </c>
      <c r="B5" s="12" t="inlineStr">
        <is>
          <t>Prato Feito</t>
        </is>
      </c>
      <c r="C5" s="43" t="n">
        <v>12.9</v>
      </c>
      <c r="D5" s="44" t="n">
        <v>3.0778</v>
      </c>
      <c r="E5" s="45">
        <f>D5/C5</f>
        <v>0.2385891473</v>
      </c>
      <c r="F5" s="13">
        <f>C5-D5</f>
        <v>9.8222</v>
      </c>
      <c r="G5" s="46">
        <f>D5/8.4</f>
        <v>0.3664047619</v>
      </c>
      <c r="H5" s="47" t="inlineStr">
        <is>
          <t>OK</t>
        </is>
      </c>
      <c r="I5" s="15" t="inlineStr">
        <is>
          <t>A minha suspeita estava errada. Custeado, dá 23,9% — folgado. O que me enganou foi comparar mentalmente com os 8,40 € da BD, onde daria 36,6%.</t>
        </is>
      </c>
    </row>
    <row r="6">
      <c r="A6" s="10" t="inlineStr">
        <is>
          <t>Peito de Frango Grelhado</t>
        </is>
      </c>
      <c r="B6" s="12" t="inlineStr">
        <is>
          <t>Prato Feito</t>
        </is>
      </c>
      <c r="C6" s="43" t="n">
        <v>12.9</v>
      </c>
      <c r="D6" s="44" t="n">
        <v>1.9778</v>
      </c>
      <c r="E6" s="45">
        <f>D6/C6</f>
        <v>0.1533178295</v>
      </c>
      <c r="F6" s="13">
        <f>C6-D6</f>
        <v>10.9222</v>
      </c>
      <c r="G6" s="48">
        <f>D6/8.4</f>
        <v>0.235452381</v>
      </c>
      <c r="H6" s="47" t="inlineStr">
        <is>
          <t>OK</t>
        </is>
      </c>
      <c r="I6" s="15" t="inlineStr"/>
    </row>
    <row r="7">
      <c r="A7" s="10" t="inlineStr">
        <is>
          <t>Bacalhau à Brás</t>
        </is>
      </c>
      <c r="B7" s="12" t="inlineStr">
        <is>
          <t>Prato Feito</t>
        </is>
      </c>
      <c r="C7" s="43" t="n">
        <v>13.9</v>
      </c>
      <c r="D7" s="44" t="n">
        <v>3.147</v>
      </c>
      <c r="E7" s="45">
        <f>D7/C7</f>
        <v>0.2264028777</v>
      </c>
      <c r="F7" s="13">
        <f>C7-D7</f>
        <v>10.753</v>
      </c>
      <c r="G7" s="46">
        <f>D7/8.4</f>
        <v>0.3746428571</v>
      </c>
      <c r="H7" s="47" t="inlineStr">
        <is>
          <t>OK *</t>
        </is>
      </c>
      <c r="I7" s="15" t="inlineStr"/>
    </row>
    <row r="8">
      <c r="A8" s="10" t="inlineStr">
        <is>
          <t>Filet de Peixe</t>
        </is>
      </c>
      <c r="B8" s="12" t="inlineStr">
        <is>
          <t>Prato Feito</t>
        </is>
      </c>
      <c r="C8" s="43" t="n">
        <v>12.9</v>
      </c>
      <c r="D8" s="44" t="n">
        <v>2.1848</v>
      </c>
      <c r="E8" s="45">
        <f>D8/C8</f>
        <v>0.1693643411</v>
      </c>
      <c r="F8" s="13">
        <f>C8-D8</f>
        <v>10.7152</v>
      </c>
      <c r="G8" s="48">
        <f>D8/8.4</f>
        <v>0.2600952381</v>
      </c>
      <c r="H8" s="47" t="inlineStr">
        <is>
          <t>OK *</t>
        </is>
      </c>
      <c r="I8" s="15" t="inlineStr"/>
    </row>
    <row r="9">
      <c r="A9" s="10" t="inlineStr">
        <is>
          <t>Peito de Frango Amilanesa</t>
        </is>
      </c>
      <c r="B9" s="12" t="inlineStr">
        <is>
          <t>Prato Feito</t>
        </is>
      </c>
      <c r="C9" s="43" t="n">
        <v>12.9</v>
      </c>
      <c r="D9" s="44" t="n">
        <v>2.2093</v>
      </c>
      <c r="E9" s="45">
        <f>D9/C9</f>
        <v>0.1712635659</v>
      </c>
      <c r="F9" s="13">
        <f>C9-D9</f>
        <v>10.6907</v>
      </c>
      <c r="G9" s="48">
        <f>D9/8.4</f>
        <v>0.2630119048</v>
      </c>
      <c r="H9" s="47" t="inlineStr">
        <is>
          <t>OK *</t>
        </is>
      </c>
      <c r="I9" s="15" t="inlineStr"/>
    </row>
    <row r="10">
      <c r="A10" s="10" t="inlineStr">
        <is>
          <t>Carne de Porco à Alentejana</t>
        </is>
      </c>
      <c r="B10" s="12" t="inlineStr">
        <is>
          <t>Prato Feito</t>
        </is>
      </c>
      <c r="C10" s="43" t="n">
        <v>13.9</v>
      </c>
      <c r="D10" s="44" t="n">
        <v>2.7675</v>
      </c>
      <c r="E10" s="45">
        <f>D10/C10</f>
        <v>0.1991007194</v>
      </c>
      <c r="F10" s="13">
        <f>C10-D10</f>
        <v>11.1325</v>
      </c>
      <c r="G10" s="48">
        <f>D10/8.4</f>
        <v>0.3294642857</v>
      </c>
      <c r="H10" s="47" t="inlineStr">
        <is>
          <t>OK *</t>
        </is>
      </c>
      <c r="I10" s="15" t="inlineStr"/>
    </row>
    <row r="11">
      <c r="A11" s="10" t="inlineStr">
        <is>
          <t>Bacalhau a Gomes Sá</t>
        </is>
      </c>
      <c r="B11" s="12" t="inlineStr">
        <is>
          <t>Prato Feito</t>
        </is>
      </c>
      <c r="C11" s="43" t="n">
        <v>13.9</v>
      </c>
      <c r="D11" s="44" t="n">
        <v>3.256</v>
      </c>
      <c r="E11" s="45">
        <f>D11/C11</f>
        <v>0.2342446043</v>
      </c>
      <c r="F11" s="13">
        <f>C11-D11</f>
        <v>10.644</v>
      </c>
      <c r="G11" s="46">
        <f>D11/8.4</f>
        <v>0.3876190476</v>
      </c>
      <c r="H11" s="47" t="inlineStr">
        <is>
          <t>OK *</t>
        </is>
      </c>
      <c r="I11" s="15" t="inlineStr"/>
    </row>
    <row r="12">
      <c r="A12" s="10" t="inlineStr">
        <is>
          <t>Frango Assado</t>
        </is>
      </c>
      <c r="B12" s="12" t="inlineStr">
        <is>
          <t>Prato Feito</t>
        </is>
      </c>
      <c r="C12" s="43" t="n">
        <v>12.9</v>
      </c>
      <c r="D12" s="44" t="n">
        <v>1.7213</v>
      </c>
      <c r="E12" s="45">
        <f>D12/C12</f>
        <v>0.1334341085</v>
      </c>
      <c r="F12" s="13">
        <f>C12-D12</f>
        <v>11.1787</v>
      </c>
      <c r="G12" s="48">
        <f>D12/8.4</f>
        <v>0.2049166667</v>
      </c>
      <c r="H12" s="47" t="inlineStr">
        <is>
          <t>OK *</t>
        </is>
      </c>
      <c r="I12" s="15" t="inlineStr">
        <is>
          <t>O PF de menor custo. Bom candidato a prato de segunda-feira, que é o dia fraco.</t>
        </is>
      </c>
    </row>
    <row r="13">
      <c r="A13" s="10" t="inlineStr">
        <is>
          <t>Maminha na Chapa</t>
        </is>
      </c>
      <c r="B13" s="12" t="inlineStr">
        <is>
          <t>Prato Feito</t>
        </is>
      </c>
      <c r="C13" s="43" t="n">
        <v>13.9</v>
      </c>
      <c r="D13" s="44" t="n">
        <v>3.6758</v>
      </c>
      <c r="E13" s="45">
        <f>D13/C13</f>
        <v>0.2644460432</v>
      </c>
      <c r="F13" s="13">
        <f>C13-D13</f>
        <v>10.2242</v>
      </c>
      <c r="G13" s="49">
        <f>D13/8.4</f>
        <v>0.4375952381</v>
      </c>
      <c r="H13" s="47" t="inlineStr">
        <is>
          <t>OK *</t>
        </is>
      </c>
      <c r="I13" s="15" t="inlineStr">
        <is>
          <t>O PF mais caro em matéria-prima. A 13,90 € fecha; aos 8,40 € da BD dava 43,8% e vendia a perder.</t>
        </is>
      </c>
    </row>
    <row r="14">
      <c r="A14" s="10" t="inlineStr">
        <is>
          <t>Bacalhau com Natas</t>
        </is>
      </c>
      <c r="B14" s="12" t="inlineStr">
        <is>
          <t>Prato Feito</t>
        </is>
      </c>
      <c r="C14" s="43" t="n">
        <v>13.9</v>
      </c>
      <c r="D14" s="44" t="n">
        <v>3.046</v>
      </c>
      <c r="E14" s="45">
        <f>D14/C14</f>
        <v>0.2191366906</v>
      </c>
      <c r="F14" s="13">
        <f>C14-D14</f>
        <v>10.854</v>
      </c>
      <c r="G14" s="46">
        <f>D14/8.4</f>
        <v>0.3626190476</v>
      </c>
      <c r="H14" s="47" t="inlineStr">
        <is>
          <t>OK</t>
        </is>
      </c>
      <c r="I14" s="15" t="inlineStr"/>
    </row>
    <row r="15">
      <c r="A15" s="10" t="inlineStr">
        <is>
          <t>Carne de Panela</t>
        </is>
      </c>
      <c r="B15" s="12" t="inlineStr">
        <is>
          <t>Prato Feito</t>
        </is>
      </c>
      <c r="C15" s="43" t="n">
        <v>12.9</v>
      </c>
      <c r="D15" s="44" t="n">
        <v>2.8428</v>
      </c>
      <c r="E15" s="45">
        <f>D15/C15</f>
        <v>0.220372093</v>
      </c>
      <c r="F15" s="13">
        <f>C15-D15</f>
        <v>10.0572</v>
      </c>
      <c r="G15" s="48">
        <f>D15/8.4</f>
        <v>0.3384285714</v>
      </c>
      <c r="H15" s="47" t="inlineStr">
        <is>
          <t>OK *</t>
        </is>
      </c>
      <c r="I15" s="15" t="inlineStr"/>
    </row>
    <row r="16">
      <c r="A16" s="10" t="inlineStr">
        <is>
          <t>Piano</t>
        </is>
      </c>
      <c r="B16" s="12" t="inlineStr">
        <is>
          <t>Prato Feito</t>
        </is>
      </c>
      <c r="C16" s="43" t="n">
        <v>13.9</v>
      </c>
      <c r="D16" s="44" t="n">
        <v>2.5358</v>
      </c>
      <c r="E16" s="45">
        <f>D16/C16</f>
        <v>0.1824316547</v>
      </c>
      <c r="F16" s="13">
        <f>C16-D16</f>
        <v>11.3642</v>
      </c>
      <c r="G16" s="48">
        <f>D16/8.4</f>
        <v>0.3018809524</v>
      </c>
      <c r="H16" s="47" t="inlineStr">
        <is>
          <t>OK *</t>
        </is>
      </c>
      <c r="I16" s="15" t="inlineStr">
        <is>
          <t>Corte com osso: 350 g brutos rendem ~200 g de carne servida. É por isso que a gramagem parece alta.</t>
        </is>
      </c>
    </row>
    <row r="17">
      <c r="A17" s="10" t="inlineStr">
        <is>
          <t>Massada de Perca</t>
        </is>
      </c>
      <c r="B17" s="12" t="inlineStr">
        <is>
          <t>Prato Feito</t>
        </is>
      </c>
      <c r="C17" s="43" t="n">
        <v>13.9</v>
      </c>
      <c r="D17" s="44" t="n">
        <v>2.232</v>
      </c>
      <c r="E17" s="45">
        <f>D17/C17</f>
        <v>0.1605755396</v>
      </c>
      <c r="F17" s="13">
        <f>C17-D17</f>
        <v>11.668</v>
      </c>
      <c r="G17" s="48">
        <f>D17/8.4</f>
        <v>0.2657142857</v>
      </c>
      <c r="H17" s="47" t="inlineStr">
        <is>
          <t>OK *</t>
        </is>
      </c>
      <c r="I17" s="15" t="inlineStr"/>
    </row>
    <row r="18">
      <c r="A18" s="10" t="inlineStr">
        <is>
          <t>Feijoada da Casa</t>
        </is>
      </c>
      <c r="B18" s="12" t="inlineStr">
        <is>
          <t>Prato Feito</t>
        </is>
      </c>
      <c r="C18" s="43" t="n">
        <v>13.9</v>
      </c>
      <c r="D18" s="44" t="n">
        <v>2.6823</v>
      </c>
      <c r="E18" s="45">
        <f>D18/C18</f>
        <v>0.192971223</v>
      </c>
      <c r="F18" s="13">
        <f>C18-D18</f>
        <v>11.2177</v>
      </c>
      <c r="G18" s="48">
        <f>D18/8.4</f>
        <v>0.3193214286</v>
      </c>
      <c r="H18" s="47" t="inlineStr">
        <is>
          <t>OK *</t>
        </is>
      </c>
      <c r="I18" s="15" t="inlineStr">
        <is>
          <t>Leva arroz, farofa, couve e laranja — não leva feijão de acompanhamento nem salada, porque o feijão é o prato.</t>
        </is>
      </c>
    </row>
    <row r="19">
      <c r="A19" s="10" t="inlineStr">
        <is>
          <t>Frango Ensopado</t>
        </is>
      </c>
      <c r="B19" s="12" t="inlineStr">
        <is>
          <t>Prato Feito</t>
        </is>
      </c>
      <c r="C19" s="43" t="n">
        <v>12.9</v>
      </c>
      <c r="D19" s="44" t="n">
        <v>2.5208</v>
      </c>
      <c r="E19" s="45">
        <f>D19/C19</f>
        <v>0.1954108527</v>
      </c>
      <c r="F19" s="13">
        <f>C19-D19</f>
        <v>10.3792</v>
      </c>
      <c r="G19" s="48">
        <f>D19/8.4</f>
        <v>0.3000952381</v>
      </c>
      <c r="H19" s="47" t="inlineStr">
        <is>
          <t>OK *</t>
        </is>
      </c>
      <c r="I19" s="15" t="inlineStr"/>
    </row>
    <row r="20">
      <c r="A20" s="10" t="inlineStr">
        <is>
          <t>Bitoque da Casa</t>
        </is>
      </c>
      <c r="B20" s="12" t="inlineStr">
        <is>
          <t>Almoço</t>
        </is>
      </c>
      <c r="C20" s="43" t="n">
        <v>13.5</v>
      </c>
      <c r="D20" s="44" t="n">
        <v>3.974</v>
      </c>
      <c r="E20" s="45">
        <f>D20/C20</f>
        <v>0.2943703704</v>
      </c>
      <c r="F20" s="13">
        <f>C20-D20</f>
        <v>9.526</v>
      </c>
      <c r="G20" s="50" t="inlineStr">
        <is>
          <t>—</t>
        </is>
      </c>
      <c r="H20" s="47" t="inlineStr">
        <is>
          <t>OK</t>
        </is>
      </c>
      <c r="I20" s="15" t="inlineStr">
        <is>
          <t>Os 29,4% incluem a bebida e o café que a ementa promete. Sem eles seriam 22,6%. Custei pelo refrigerante mais caro — pior caso.</t>
        </is>
      </c>
    </row>
    <row r="21">
      <c r="A21" s="10" t="inlineStr">
        <is>
          <t>Pica-Pau</t>
        </is>
      </c>
      <c r="B21" s="12" t="inlineStr">
        <is>
          <t>Petiscos</t>
        </is>
      </c>
      <c r="C21" s="43" t="n">
        <v>14.9</v>
      </c>
      <c r="D21" s="44" t="n">
        <v>2.174</v>
      </c>
      <c r="E21" s="45">
        <f>D21/C21</f>
        <v>0.1459060403</v>
      </c>
      <c r="F21" s="13">
        <f>C21-D21</f>
        <v>12.726</v>
      </c>
      <c r="G21" s="50" t="inlineStr">
        <is>
          <t>—</t>
        </is>
      </c>
      <c r="H21" s="47" t="inlineStr">
        <is>
          <t>OK</t>
        </is>
      </c>
      <c r="I21" s="15" t="inlineStr"/>
    </row>
    <row r="22">
      <c r="A22" s="10" t="inlineStr">
        <is>
          <t>Tábua da Casa</t>
        </is>
      </c>
      <c r="B22" s="12" t="inlineStr">
        <is>
          <t>Petiscos</t>
        </is>
      </c>
      <c r="C22" s="43" t="n">
        <v>17.9</v>
      </c>
      <c r="D22" s="44" t="n">
        <v>6.6665</v>
      </c>
      <c r="E22" s="51">
        <f>D22/C22</f>
        <v>0.3724301676</v>
      </c>
      <c r="F22" s="13">
        <f>C22-D22</f>
        <v>11.2335</v>
      </c>
      <c r="G22" s="50" t="inlineStr">
        <is>
          <t>—</t>
        </is>
      </c>
      <c r="H22" s="52" t="inlineStr">
        <is>
          <t>APERTADO</t>
        </is>
      </c>
      <c r="I22" s="15" t="inlineStr">
        <is>
          <t>O pior food cost dos 23. Dois queijos DOP e dois enchidos a peso são caros. A 17,90 € ainda passa, mas não há margem para o preço do queijo subir.</t>
        </is>
      </c>
    </row>
    <row r="23">
      <c r="A23" s="10" t="inlineStr">
        <is>
          <t>Azeitonas Temperadas</t>
        </is>
      </c>
      <c r="B23" s="12" t="inlineStr">
        <is>
          <t>Entrada</t>
        </is>
      </c>
      <c r="C23" s="43" t="n">
        <v>1.5</v>
      </c>
      <c r="D23" s="44" t="n">
        <v>0.446</v>
      </c>
      <c r="E23" s="45">
        <f>D23/C23</f>
        <v>0.2973333333</v>
      </c>
      <c r="F23" s="13">
        <f>C23-D23</f>
        <v>1.054</v>
      </c>
      <c r="G23" s="50" t="inlineStr">
        <is>
          <t>—</t>
        </is>
      </c>
      <c r="H23" s="47" t="inlineStr">
        <is>
          <t>OK *</t>
        </is>
      </c>
      <c r="I23" s="15" t="inlineStr"/>
    </row>
    <row r="24">
      <c r="A24" s="10" t="inlineStr">
        <is>
          <t>Tremoços</t>
        </is>
      </c>
      <c r="B24" s="12" t="inlineStr">
        <is>
          <t>Entrada</t>
        </is>
      </c>
      <c r="C24" s="43" t="n">
        <v>1</v>
      </c>
      <c r="D24" s="44" t="n">
        <v>0.28</v>
      </c>
      <c r="E24" s="45">
        <f>D24/C24</f>
        <v>0.28</v>
      </c>
      <c r="F24" s="13">
        <f>C24-D24</f>
        <v>0.72</v>
      </c>
      <c r="G24" s="50" t="inlineStr">
        <is>
          <t>—</t>
        </is>
      </c>
      <c r="H24" s="47" t="inlineStr">
        <is>
          <t>OK *</t>
        </is>
      </c>
      <c r="I24" s="15" t="inlineStr"/>
    </row>
    <row r="25">
      <c r="A25" s="10" t="inlineStr">
        <is>
          <t>Bolo da Dona Célia (fatia)</t>
        </is>
      </c>
      <c r="B25" s="12" t="inlineStr">
        <is>
          <t>Pequeno-almoço</t>
        </is>
      </c>
      <c r="C25" s="43" t="n">
        <v>2.8</v>
      </c>
      <c r="D25" s="44" t="n">
        <v>0.7</v>
      </c>
      <c r="E25" s="45">
        <f>D25/C25</f>
        <v>0.25</v>
      </c>
      <c r="F25" s="13">
        <f>C25-D25</f>
        <v>2.1</v>
      </c>
      <c r="G25" s="50" t="inlineStr">
        <is>
          <t>—</t>
        </is>
      </c>
      <c r="H25" s="47" t="inlineStr">
        <is>
          <t>OK *</t>
        </is>
      </c>
      <c r="I25" s="15" t="inlineStr"/>
    </row>
    <row r="26">
      <c r="A26" s="10" t="inlineStr">
        <is>
          <t>Heineken (imperial)</t>
        </is>
      </c>
      <c r="B26" s="12" t="inlineStr">
        <is>
          <t>Bebidas</t>
        </is>
      </c>
      <c r="C26" s="43" t="n">
        <v>1.8</v>
      </c>
      <c r="D26" s="44" t="n">
        <v>0.46</v>
      </c>
      <c r="E26" s="45">
        <f>D26/C26</f>
        <v>0.2555555556</v>
      </c>
      <c r="F26" s="13">
        <f>C26-D26</f>
        <v>1.34</v>
      </c>
      <c r="G26" s="50" t="inlineStr">
        <is>
          <t>—</t>
        </is>
      </c>
      <c r="H26" s="47" t="inlineStr">
        <is>
          <t>OK</t>
        </is>
      </c>
      <c r="I26" s="15" t="inlineStr"/>
    </row>
    <row r="27">
      <c r="A27" s="21" t="inlineStr">
        <is>
          <t>Copo Cheio (IPA da casa)</t>
        </is>
      </c>
      <c r="B27" s="53" t="inlineStr">
        <is>
          <t>Bebidas</t>
        </is>
      </c>
      <c r="C27" s="54" t="n">
        <v>4.5</v>
      </c>
      <c r="D27" s="53" t="inlineStr">
        <is>
          <t>n/d</t>
        </is>
      </c>
      <c r="E27" s="53" t="inlineStr">
        <is>
          <t>n/d</t>
        </is>
      </c>
      <c r="F27" s="53" t="inlineStr">
        <is>
          <t>n/d</t>
        </is>
      </c>
      <c r="G27" s="53" t="inlineStr">
        <is>
          <t>n/d</t>
        </is>
      </c>
      <c r="H27" s="53" t="inlineStr">
        <is>
          <t>SEM CUSTO</t>
        </is>
      </c>
      <c r="I27" s="24" t="inlineStr">
        <is>
          <t>Não custeável. O item existe em stock mas está sem custo de produção. Enquanto isso não entrar, não valido este preço nem nenhum combo com jarro.</t>
        </is>
      </c>
    </row>
    <row r="29">
      <c r="A29" s="2" t="inlineStr">
        <is>
          <t>* Provisório — depende de itens de stock que ainda não existem. Preços estimados por mim.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14" customWidth="1" min="3" max="3"/>
    <col width="12" customWidth="1" min="4" max="4"/>
    <col width="78" customWidth="1" min="5" max="5"/>
  </cols>
  <sheetData>
    <row r="1">
      <c r="A1" s="7" t="inlineStr">
        <is>
          <t>ITENS DE STOCK A CRIAR — 18 ingredientes</t>
        </is>
      </c>
      <c r="B1" s="8" t="n"/>
      <c r="C1" s="8" t="n"/>
      <c r="D1" s="8" t="n"/>
      <c r="E1" s="8" t="n"/>
    </row>
    <row r="2">
      <c r="A2" s="2" t="inlineStr">
        <is>
          <t>Não inventei nomes nem os meti nas fichas como se existissem. Criar estes itens em Admin → Stock antes de aplicar as fichas.</t>
        </is>
      </c>
    </row>
    <row r="4">
      <c r="A4" s="9" t="inlineStr">
        <is>
          <t>Nome proposto</t>
        </is>
      </c>
      <c r="B4" s="9" t="inlineStr">
        <is>
          <t>Unidade</t>
        </is>
      </c>
      <c r="C4" s="9" t="inlineStr">
        <is>
          <t>Custo estimado</t>
        </is>
      </c>
      <c r="D4" s="9" t="inlineStr">
        <is>
          <t>Usado em</t>
        </is>
      </c>
      <c r="E4" s="9" t="inlineStr">
        <is>
          <t>Nota</t>
        </is>
      </c>
    </row>
    <row r="5">
      <c r="A5" s="10" t="inlineStr">
        <is>
          <t>Piano de porco (entrecosto)</t>
        </is>
      </c>
      <c r="B5" s="12" t="inlineStr">
        <is>
          <t>kg</t>
        </is>
      </c>
      <c r="C5" s="55" t="n">
        <v>5.5</v>
      </c>
      <c r="D5" s="12" t="inlineStr">
        <is>
          <t>1 prato(s)</t>
        </is>
      </c>
      <c r="E5" s="15" t="inlineStr">
        <is>
          <t>Corte suíno, entrecosto/costela. Confirmado pelo Leandro como o prato "Piano". Preço estimado — validar na Makro.  ▸ Piano</t>
        </is>
      </c>
    </row>
    <row r="6">
      <c r="A6" s="10" t="inlineStr">
        <is>
          <t>Maminha de vaca</t>
        </is>
      </c>
      <c r="B6" s="12" t="inlineStr">
        <is>
          <t>kg</t>
        </is>
      </c>
      <c r="C6" s="55" t="n">
        <v>15.5</v>
      </c>
      <c r="D6" s="12" t="inlineStr">
        <is>
          <t>1 prato(s)</t>
        </is>
      </c>
      <c r="E6" s="15" t="inlineStr">
        <is>
          <t>Corte brasileiro (picanha/maminha). Se não houver na Makro, alternativa é alcatra.  ▸ Maminha na Chapa</t>
        </is>
      </c>
    </row>
    <row r="7">
      <c r="A7" s="10" t="inlineStr">
        <is>
          <t>Frango inteiro</t>
        </is>
      </c>
      <c r="B7" s="12" t="inlineStr">
        <is>
          <t>kg</t>
        </is>
      </c>
      <c r="C7" s="55" t="n">
        <v>3.2</v>
      </c>
      <c r="D7" s="12" t="inlineStr">
        <is>
          <t>1 prato(s)</t>
        </is>
      </c>
      <c r="E7" s="15" t="inlineStr">
        <is>
          <t>Para o Frango Assado. Peso médio 1,2-1,4 kg.  ▸ Frango Assado</t>
        </is>
      </c>
    </row>
    <row r="8">
      <c r="A8" s="10" t="inlineStr">
        <is>
          <t>Frango em pedaços (coxa e perna)</t>
        </is>
      </c>
      <c r="B8" s="12" t="inlineStr">
        <is>
          <t>kg</t>
        </is>
      </c>
      <c r="C8" s="55" t="n">
        <v>3.8</v>
      </c>
      <c r="D8" s="12" t="inlineStr">
        <is>
          <t>1 prato(s)</t>
        </is>
      </c>
      <c r="E8" s="15" t="inlineStr">
        <is>
          <t>Para o Frango Ensopado. Alternativa: usar o frango inteiro e desmanchar.  ▸ Frango Ensopado</t>
        </is>
      </c>
    </row>
    <row r="9">
      <c r="A9" s="10" t="inlineStr">
        <is>
          <t>Carne de vaca para estufar (chã de fora)</t>
        </is>
      </c>
      <c r="B9" s="12" t="inlineStr">
        <is>
          <t>kg</t>
        </is>
      </c>
      <c r="C9" s="55" t="n">
        <v>9.5</v>
      </c>
      <c r="D9" s="12" t="inlineStr">
        <is>
          <t>1 prato(s)</t>
        </is>
      </c>
      <c r="E9" s="15" t="inlineStr">
        <is>
          <t>Para a Carne de Panela. O acém/vazia que está em stock é corte de bife, não serve para estufar.  ▸ Carne de Panela</t>
        </is>
      </c>
    </row>
    <row r="10">
      <c r="A10" s="10" t="inlineStr">
        <is>
          <t>Bacalhau em lascas demolhado</t>
        </is>
      </c>
      <c r="B10" s="12" t="inlineStr">
        <is>
          <t>kg</t>
        </is>
      </c>
      <c r="C10" s="55" t="n">
        <v>14</v>
      </c>
      <c r="D10" s="12" t="inlineStr">
        <is>
          <t>1 prato(s)</t>
        </is>
      </c>
      <c r="E10" s="15" t="inlineStr">
        <is>
          <t>Para o Gomes de Sá. O desfiado que está em stock é para o Brás e não dá lasca.  ▸ Bacalhau a Gomes Sá</t>
        </is>
      </c>
    </row>
    <row r="11">
      <c r="A11" s="10" t="inlineStr">
        <is>
          <t>Filete de pescada congelado</t>
        </is>
      </c>
      <c r="B11" s="12" t="inlineStr">
        <is>
          <t>kg</t>
        </is>
      </c>
      <c r="C11" s="55" t="n">
        <v>6.8</v>
      </c>
      <c r="D11" s="12" t="inlineStr">
        <is>
          <t>1 prato(s)</t>
        </is>
      </c>
      <c r="E11" s="15" t="inlineStr">
        <is>
          <t>Para o Filet de Peixe. Usar o "Peixe fresco do dia" torna o prato impossível de custear com preço fixo.  ▸ Filet de Peixe</t>
        </is>
      </c>
    </row>
    <row r="12">
      <c r="A12" s="10" t="inlineStr">
        <is>
          <t>Perca (filete congelado)</t>
        </is>
      </c>
      <c r="B12" s="12" t="inlineStr">
        <is>
          <t>kg</t>
        </is>
      </c>
      <c r="C12" s="55" t="n">
        <v>8.5</v>
      </c>
      <c r="D12" s="12" t="inlineStr">
        <is>
          <t>1 prato(s)</t>
        </is>
      </c>
      <c r="E12" s="15" t="inlineStr">
        <is>
          <t>Para a Massada de Perca.  ▸ Massada de Perca</t>
        </is>
      </c>
    </row>
    <row r="13">
      <c r="A13" s="10" t="inlineStr">
        <is>
          <t>Ameijoa congelada</t>
        </is>
      </c>
      <c r="B13" s="12" t="inlineStr">
        <is>
          <t>kg</t>
        </is>
      </c>
      <c r="C13" s="55" t="n">
        <v>7.5</v>
      </c>
      <c r="D13" s="12" t="inlineStr">
        <is>
          <t>1 prato(s)</t>
        </is>
      </c>
      <c r="E13" s="15" t="inlineStr">
        <is>
          <t>Para a Carne de Porco à Alentejana.  ▸ Carne de Porco à Alentejana</t>
        </is>
      </c>
    </row>
    <row r="14">
      <c r="A14" s="10" t="inlineStr">
        <is>
          <t>Massa cotovelo / macarrão</t>
        </is>
      </c>
      <c r="B14" s="12" t="inlineStr">
        <is>
          <t>kg</t>
        </is>
      </c>
      <c r="C14" s="55" t="n">
        <v>1.2</v>
      </c>
      <c r="D14" s="12" t="inlineStr">
        <is>
          <t>1 prato(s)</t>
        </is>
      </c>
      <c r="E14" s="15" t="inlineStr">
        <is>
          <t>Para a Massada de Perca.  ▸ Massada de Perca</t>
        </is>
      </c>
    </row>
    <row r="15">
      <c r="A15" s="10" t="inlineStr">
        <is>
          <t>Pão ralado</t>
        </is>
      </c>
      <c r="B15" s="12" t="inlineStr">
        <is>
          <t>kg</t>
        </is>
      </c>
      <c r="C15" s="55" t="n">
        <v>1.8</v>
      </c>
      <c r="D15" s="12" t="inlineStr">
        <is>
          <t>1 prato(s)</t>
        </is>
      </c>
      <c r="E15" s="15" t="inlineStr">
        <is>
          <t>Para a Amilanesa e para panados em geral.  ▸ Peito de Frango Amilanesa</t>
        </is>
      </c>
    </row>
    <row r="16">
      <c r="A16" s="10" t="inlineStr">
        <is>
          <t>Carnes de feijoada (orelha, chispe, farinheira)</t>
        </is>
      </c>
      <c r="B16" s="12" t="inlineStr">
        <is>
          <t>kg</t>
        </is>
      </c>
      <c r="C16" s="55" t="n">
        <v>4.5</v>
      </c>
      <c r="D16" s="12" t="inlineStr">
        <is>
          <t>1 prato(s)</t>
        </is>
      </c>
      <c r="E16" s="15" t="inlineStr">
        <is>
          <t>Para a Feijoada da Casa. Pode vir como sortido de enchidos.  ▸ Feijoada da Casa</t>
        </is>
      </c>
    </row>
    <row r="17">
      <c r="A17" s="10" t="inlineStr">
        <is>
          <t>Couve portuguesa</t>
        </is>
      </c>
      <c r="B17" s="12" t="inlineStr">
        <is>
          <t>kg</t>
        </is>
      </c>
      <c r="C17" s="55" t="n">
        <v>1.8</v>
      </c>
      <c r="D17" s="12" t="inlineStr">
        <is>
          <t>1 prato(s)</t>
        </is>
      </c>
      <c r="E17" s="15" t="inlineStr">
        <is>
          <t>Para a Feijoada e como alternativa de acompanhamento verde.  ▸ Feijoada da Casa</t>
        </is>
      </c>
    </row>
    <row r="18">
      <c r="A18" s="10" t="inlineStr">
        <is>
          <t>Azeitonas</t>
        </is>
      </c>
      <c r="B18" s="12" t="inlineStr">
        <is>
          <t>kg</t>
        </is>
      </c>
      <c r="C18" s="55" t="n">
        <v>5</v>
      </c>
      <c r="D18" s="52" t="inlineStr">
        <is>
          <t>3 prato(s)</t>
        </is>
      </c>
      <c r="E18" s="15" t="inlineStr">
        <is>
          <t>Para as Azeitonas Temperadas, o Gomes de Sá e o Brás.  ▸ Bacalhau à Brás, Bacalhau a Gomes Sá, Azeitonas Temperadas</t>
        </is>
      </c>
    </row>
    <row r="19">
      <c r="A19" s="10" t="inlineStr">
        <is>
          <t>Tremoços</t>
        </is>
      </c>
      <c r="B19" s="12" t="inlineStr">
        <is>
          <t>kg</t>
        </is>
      </c>
      <c r="C19" s="55" t="n">
        <v>2.8</v>
      </c>
      <c r="D19" s="12" t="inlineStr">
        <is>
          <t>1 prato(s)</t>
        </is>
      </c>
      <c r="E19" s="15" t="inlineStr">
        <is>
          <t>Entrada. Vem em salmoura.  ▸ Tremoços</t>
        </is>
      </c>
    </row>
    <row r="20">
      <c r="A20" s="10" t="inlineStr">
        <is>
          <t>Bolo da Dona Célia (fatia)</t>
        </is>
      </c>
      <c r="B20" s="12" t="inlineStr">
        <is>
          <t>unidade</t>
        </is>
      </c>
      <c r="C20" s="55" t="n">
        <v>0.7</v>
      </c>
      <c r="D20" s="12" t="inlineStr">
        <is>
          <t>1 prato(s)</t>
        </is>
      </c>
      <c r="E20" s="15" t="inlineStr">
        <is>
          <t>Produção externa. Precisa de ficha de alergénios do produtor e de rastreabilidade HACCP antes de entrar na carta.  ▸ Bolo da Dona Célia (fatia)</t>
        </is>
      </c>
    </row>
    <row r="21">
      <c r="A21" s="10" t="inlineStr">
        <is>
          <t>Massa de pimentão</t>
        </is>
      </c>
      <c r="B21" s="12" t="inlineStr">
        <is>
          <t>kg</t>
        </is>
      </c>
      <c r="C21" s="55" t="n">
        <v>6</v>
      </c>
      <c r="D21" s="12" t="inlineStr">
        <is>
          <t>1 prato(s)</t>
        </is>
      </c>
      <c r="E21" s="15" t="inlineStr">
        <is>
          <t>Para a Carne de Porco à Alentejana. Se preferires, substitui-se por Colorau, que já existe em stock.  ▸ Carne de Porco à Alentejana</t>
        </is>
      </c>
    </row>
    <row r="22">
      <c r="A22" s="10" t="inlineStr">
        <is>
          <t>Orégãos</t>
        </is>
      </c>
      <c r="B22" s="12" t="inlineStr">
        <is>
          <t>kg</t>
        </is>
      </c>
      <c r="C22" s="55" t="n">
        <v>14</v>
      </c>
      <c r="D22" s="12" t="inlineStr">
        <is>
          <t>1 prato(s)</t>
        </is>
      </c>
      <c r="E22" s="15" t="inlineStr">
        <is>
          <t>Para as Azeitonas Temperadas. Alternativa: usar as Especiarias base.  ▸ Azeitonas Temperadas</t>
        </is>
      </c>
    </row>
    <row r="24">
      <c r="A24" s="2" t="inlineStr">
        <is>
          <t>Os custos são estimativas minhas de cash &amp; carry. Validar na Makro antes de fixar preços.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12" customWidth="1" min="3" max="3"/>
    <col width="11" customWidth="1" min="4" max="4"/>
    <col width="12" customWidth="1" min="5" max="5"/>
    <col width="66" customWidth="1" min="6" max="6"/>
  </cols>
  <sheetData>
    <row r="1">
      <c r="A1" s="7" t="inlineStr">
        <is>
          <t>EMBALAGEM POR CANAL — fora da ficha base</t>
        </is>
      </c>
      <c r="B1" s="8" t="n"/>
      <c r="C1" s="8" t="n"/>
      <c r="D1" s="8" t="n"/>
      <c r="E1" s="8" t="n"/>
      <c r="F1" s="8" t="n"/>
    </row>
    <row r="2">
      <c r="A2" s="2" t="inlineStr">
        <is>
          <t>Só se gasta em entrega e take-away. Não entra no prato servido à mesa, como pediste.</t>
        </is>
      </c>
    </row>
    <row r="4">
      <c r="A4" s="9" t="inlineStr">
        <is>
          <t>Aplica-se a</t>
        </is>
      </c>
      <c r="B4" s="9" t="inlineStr">
        <is>
          <t>Item de stock (nome exacto)</t>
        </is>
      </c>
      <c r="C4" s="9" t="inlineStr">
        <is>
          <t>Quantidade</t>
        </is>
      </c>
      <c r="D4" s="9" t="inlineStr">
        <is>
          <t>Unidade</t>
        </is>
      </c>
      <c r="E4" s="9" t="inlineStr">
        <is>
          <t>Custo (€)</t>
        </is>
      </c>
      <c r="F4" s="9" t="inlineStr">
        <is>
          <t>Nota</t>
        </is>
      </c>
    </row>
    <row r="5">
      <c r="A5" s="10" t="inlineStr">
        <is>
          <t>Prato Feito / Bitoque</t>
        </is>
      </c>
      <c r="B5" s="12" t="inlineStr">
        <is>
          <t>Menu box para prato feito</t>
        </is>
      </c>
      <c r="C5" s="56" t="n">
        <v>1</v>
      </c>
      <c r="D5" s="12" t="inlineStr">
        <is>
          <t>unidade</t>
        </is>
      </c>
      <c r="E5" s="13" t="n">
        <v>0.22</v>
      </c>
      <c r="F5" s="15" t="inlineStr">
        <is>
          <t>Uma por prato.</t>
        </is>
      </c>
    </row>
    <row r="6">
      <c r="A6" s="10" t="inlineStr"/>
      <c r="B6" s="12" t="inlineStr">
        <is>
          <t>Talheres de madeira + guardanapo (kit)</t>
        </is>
      </c>
      <c r="C6" s="56" t="n">
        <v>1</v>
      </c>
      <c r="D6" s="12" t="inlineStr">
        <is>
          <t>unidade</t>
        </is>
      </c>
      <c r="E6" s="13" t="n">
        <v>0.08</v>
      </c>
      <c r="F6" s="15" t="inlineStr">
        <is>
          <t>Um por prato.</t>
        </is>
      </c>
    </row>
    <row r="7">
      <c r="A7" s="10" t="inlineStr"/>
      <c r="B7" s="12" t="inlineStr">
        <is>
          <t>Etiqueta de alergénios autocolante</t>
        </is>
      </c>
      <c r="C7" s="56" t="n">
        <v>1</v>
      </c>
      <c r="D7" s="12" t="inlineStr">
        <is>
          <t>unidade</t>
        </is>
      </c>
      <c r="E7" s="13" t="n">
        <v>0.02</v>
      </c>
      <c r="F7" s="15" t="inlineStr">
        <is>
          <t>Obrigatório por lei no delivery.</t>
        </is>
      </c>
    </row>
    <row r="8">
      <c r="A8" s="10" t="inlineStr">
        <is>
          <t>Petisco frito</t>
        </is>
      </c>
      <c r="B8" s="12" t="inlineStr">
        <is>
          <t>Caixa ventilada para fritos (kraft)</t>
        </is>
      </c>
      <c r="C8" s="56" t="n">
        <v>1</v>
      </c>
      <c r="D8" s="12" t="inlineStr">
        <is>
          <t>unidade</t>
        </is>
      </c>
      <c r="E8" s="13" t="n">
        <v>0.12</v>
      </c>
      <c r="F8" s="15" t="inlineStr">
        <is>
          <t>Sem ventilação o frito chega mole.</t>
        </is>
      </c>
    </row>
    <row r="9">
      <c r="A9" s="10" t="inlineStr"/>
      <c r="B9" s="12" t="inlineStr">
        <is>
          <t>Etiqueta de alergénios autocolante</t>
        </is>
      </c>
      <c r="C9" s="56" t="n">
        <v>1</v>
      </c>
      <c r="D9" s="12" t="inlineStr">
        <is>
          <t>unidade</t>
        </is>
      </c>
      <c r="E9" s="13" t="n">
        <v>0.02</v>
      </c>
      <c r="F9" s="15" t="inlineStr"/>
    </row>
    <row r="10">
      <c r="A10" s="10" t="inlineStr">
        <is>
          <t>Tábua da Casa</t>
        </is>
      </c>
      <c r="B10" s="12" t="inlineStr">
        <is>
          <t>Caixa compartimentada (tábua)</t>
        </is>
      </c>
      <c r="C10" s="56" t="n">
        <v>1</v>
      </c>
      <c r="D10" s="12" t="inlineStr">
        <is>
          <t>unidade</t>
        </is>
      </c>
      <c r="E10" s="13" t="n">
        <v>0.35</v>
      </c>
      <c r="F10" s="15" t="inlineStr">
        <is>
          <t>Não é a tábua de madeira.</t>
        </is>
      </c>
    </row>
    <row r="11">
      <c r="A11" s="10" t="inlineStr"/>
      <c r="B11" s="12" t="inlineStr">
        <is>
          <t>Etiqueta de alergénios autocolante</t>
        </is>
      </c>
      <c r="C11" s="56" t="n">
        <v>1</v>
      </c>
      <c r="D11" s="12" t="inlineStr">
        <is>
          <t>unidade</t>
        </is>
      </c>
      <c r="E11" s="13" t="n">
        <v>0.02</v>
      </c>
      <c r="F11" s="15" t="inlineStr"/>
    </row>
    <row r="12">
      <c r="A12" s="10" t="inlineStr">
        <is>
          <t>Molhos à parte</t>
        </is>
      </c>
      <c r="B12" s="12" t="inlineStr">
        <is>
          <t>Recipiente para molhos 50 ml + tampa</t>
        </is>
      </c>
      <c r="C12" s="56" t="n">
        <v>1</v>
      </c>
      <c r="D12" s="12" t="inlineStr">
        <is>
          <t>unidade</t>
        </is>
      </c>
      <c r="E12" s="13" t="n">
        <v>0.04</v>
      </c>
      <c r="F12" s="15" t="inlineStr">
        <is>
          <t>Por molho pedido.</t>
        </is>
      </c>
    </row>
    <row r="13">
      <c r="A13" s="57" t="inlineStr">
        <is>
          <t>POR ENCOMENDA</t>
        </is>
      </c>
      <c r="B13" s="58" t="inlineStr">
        <is>
          <t>Saco de papel com asa</t>
        </is>
      </c>
      <c r="C13" s="59" t="n">
        <v>1</v>
      </c>
      <c r="D13" s="58" t="inlineStr">
        <is>
          <t>unidade</t>
        </is>
      </c>
      <c r="E13" s="60" t="n">
        <v>0.09</v>
      </c>
      <c r="F13" s="61" t="inlineStr">
        <is>
          <t>Um por encomenda, não por prato.</t>
        </is>
      </c>
    </row>
    <row r="14">
      <c r="A14" s="57" t="inlineStr"/>
      <c r="B14" s="58" t="inlineStr">
        <is>
          <t>Selo de segurança (tamper-evident)</t>
        </is>
      </c>
      <c r="C14" s="59" t="n">
        <v>1</v>
      </c>
      <c r="D14" s="58" t="inlineStr">
        <is>
          <t>unidade</t>
        </is>
      </c>
      <c r="E14" s="60" t="n">
        <v>0.01</v>
      </c>
      <c r="F14" s="61" t="inlineStr">
        <is>
          <t>Exigido pela Uber Eats e Glovo. Um por encomenda.</t>
        </is>
      </c>
    </row>
    <row r="16">
      <c r="A16" s="62" t="inlineStr">
        <is>
          <t>CUSTO POR TIPO DE ENCOMENDA</t>
        </is>
      </c>
    </row>
    <row r="17">
      <c r="A17" s="9" t="inlineStr">
        <is>
          <t>Cenário de encomenda</t>
        </is>
      </c>
      <c r="B17" s="9" t="inlineStr">
        <is>
          <t>Composição</t>
        </is>
      </c>
      <c r="C17" s="9" t="inlineStr"/>
      <c r="D17" s="9" t="inlineStr"/>
      <c r="E17" s="9" t="inlineStr">
        <is>
          <t>Custo total</t>
        </is>
      </c>
      <c r="F17" s="9" t="inlineStr">
        <is>
          <t>Leitura</t>
        </is>
      </c>
    </row>
    <row r="18">
      <c r="A18" s="10" t="inlineStr">
        <is>
          <t>1 Prato Feito</t>
        </is>
      </c>
      <c r="B18" s="15" t="inlineStr">
        <is>
          <t>Menu box 0,22 + talheres 0,08 + etiqueta 0,02 + saco 0,09 + selo 0,01</t>
        </is>
      </c>
      <c r="C18" s="20" t="n"/>
      <c r="D18" s="20" t="n"/>
      <c r="E18" s="63" t="n">
        <v>0.42</v>
      </c>
      <c r="F18" s="15" t="inlineStr">
        <is>
          <t>É o valor a somar ao custo do prato quando a venda é por delivery.</t>
        </is>
      </c>
    </row>
    <row r="19">
      <c r="A19" s="10" t="inlineStr">
        <is>
          <t>1 Petisco frito</t>
        </is>
      </c>
      <c r="B19" s="15" t="inlineStr">
        <is>
          <t>Caixa ventilada 0,12 + etiqueta 0,02 + saco 0,09 + selo 0,01</t>
        </is>
      </c>
      <c r="C19" s="20" t="n"/>
      <c r="D19" s="20" t="n"/>
      <c r="E19" s="63" t="n">
        <v>0.24</v>
      </c>
      <c r="F19" s="15" t="inlineStr">
        <is>
          <t>Abaixo dos 0,40 € que usei por estimativa na ementa v2 — posso rever esse número em baixa.</t>
        </is>
      </c>
    </row>
    <row r="20">
      <c r="A20" s="10" t="inlineStr">
        <is>
          <t>Tábua da Casa</t>
        </is>
      </c>
      <c r="B20" s="15" t="inlineStr">
        <is>
          <t>Caixa compartimentada 0,35 + etiqueta 0,02 + saco 0,09 + selo 0,01</t>
        </is>
      </c>
      <c r="C20" s="20" t="n"/>
      <c r="D20" s="20" t="n"/>
      <c r="E20" s="63" t="n">
        <v>0.47</v>
      </c>
      <c r="F20" s="15" t="inlineStr">
        <is>
          <t>Contra os 0,90 € que estimei na ementa v2. Também posso rever em baixa.</t>
        </is>
      </c>
    </row>
    <row r="21">
      <c r="A21" s="10" t="inlineStr">
        <is>
          <t>2 PF + 2 petiscos</t>
        </is>
      </c>
      <c r="B21" s="15" t="inlineStr">
        <is>
          <t>2 menu box + 2 caixas + 2 talheres + 4 etiquetas + 1 saco + 1 selo</t>
        </is>
      </c>
      <c r="C21" s="20" t="n"/>
      <c r="D21" s="20" t="n"/>
      <c r="E21" s="63" t="n">
        <v>1.02</v>
      </c>
      <c r="F21" s="15" t="inlineStr">
        <is>
          <t>Saco e selo são POR ENCOMENDA, não por prato. Quanto maior a encomenda, menor o peso da embalagem.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0" customWidth="1" min="3" max="3"/>
    <col width="46" customWidth="1" min="4" max="4"/>
    <col width="60" customWidth="1" min="5" max="5"/>
  </cols>
  <sheetData>
    <row r="1">
      <c r="A1" s="8" t="n"/>
      <c r="B1" s="7" t="inlineStr">
        <is>
          <t>O QUE CONTINUA POR RESOLVER</t>
        </is>
      </c>
      <c r="C1" s="8" t="n"/>
      <c r="D1" s="8" t="n"/>
      <c r="E1" s="8" t="n"/>
    </row>
    <row r="2">
      <c r="B2" s="2" t="inlineStr">
        <is>
          <t>Nada disto se resolve dentro deste ficheiro.</t>
        </is>
      </c>
    </row>
    <row r="4">
      <c r="A4" s="9" t="inlineStr">
        <is>
          <t>#</t>
        </is>
      </c>
      <c r="B4" s="9" t="inlineStr">
        <is>
          <t>Assunto</t>
        </is>
      </c>
      <c r="C4" s="9" t="inlineStr">
        <is>
          <t>Quem resolve</t>
        </is>
      </c>
      <c r="D4" s="9" t="inlineStr">
        <is>
          <t>O que é preciso</t>
        </is>
      </c>
      <c r="E4" s="9" t="inlineStr">
        <is>
          <t>Porque bloqueia</t>
        </is>
      </c>
    </row>
    <row r="5">
      <c r="A5" s="53" t="n">
        <v>0</v>
      </c>
      <c r="B5" s="21" t="inlineStr">
        <is>
          <t>Criar 17 produtos em falta na tabela products</t>
        </is>
      </c>
      <c r="C5" s="53" t="inlineStr">
        <is>
          <t>Tu / Daniel</t>
        </is>
      </c>
      <c r="D5" s="24" t="inlineStr">
        <is>
          <t>Os 15 PF individuais, o Heineken (imperial) e o Copo Cheio não existem em products. Criar com os preços da grelha.</t>
        </is>
      </c>
      <c r="E5" s="24" t="inlineStr">
        <is>
          <t>A ficha técnica liga-se a um produto. Sem produto, o SQL das fichas salta 17 dos 23 pratos em silêncio. Ver folha "Pratos em Falta na BD".</t>
        </is>
      </c>
    </row>
    <row r="6">
      <c r="A6" s="53" t="n">
        <v>1</v>
      </c>
      <c r="B6" s="21" t="inlineStr">
        <is>
          <t>Criar os 18 itens de stock</t>
        </is>
      </c>
      <c r="C6" s="53" t="inlineStr">
        <is>
          <t>Tu / Daniel</t>
        </is>
      </c>
      <c r="D6" s="24" t="inlineStr">
        <is>
          <t>Criar em Admin → Stock com a unidade proposta e o custo real da Makro.</t>
        </is>
      </c>
      <c r="E6" s="24" t="inlineStr">
        <is>
          <t>13 dos 23 pratos dependem de pelo menos um destes itens. Sem eles as fichas não se podem aplicar no sistema.</t>
        </is>
      </c>
    </row>
    <row r="7">
      <c r="A7" s="53" t="n">
        <v>2</v>
      </c>
      <c r="B7" s="21" t="inlineStr">
        <is>
          <t>Custo da cerveja da casa</t>
        </is>
      </c>
      <c r="C7" s="53" t="inlineStr">
        <is>
          <t>Tu / produção</t>
        </is>
      </c>
      <c r="D7" s="24" t="inlineStr">
        <is>
          <t>Custo de produção por litro das três cervejas.</t>
        </is>
      </c>
      <c r="E7" s="24" t="inlineStr">
        <is>
          <t>O "Copo Cheio" já existe em stock mas está sem custo. Não valido o preço de 4,50 €, nem custeio nenhum dos quatro combos com jarro.</t>
        </is>
      </c>
    </row>
    <row r="8">
      <c r="A8" s="53" t="n">
        <v>3</v>
      </c>
      <c r="B8" s="21" t="inlineStr">
        <is>
          <t>Preços na base de dados</t>
        </is>
      </c>
      <c r="C8" s="53" t="inlineStr">
        <is>
          <t>Tu</t>
        </is>
      </c>
      <c r="D8" s="24" t="inlineStr">
        <is>
          <t>Decidir se os PF passam a 12,90/13,90 € ou ficam nos 8,40 €.</t>
        </is>
      </c>
      <c r="E8" s="24" t="inlineStr">
        <is>
          <t>Aos 8,40 € a Maminha dá 43,8% de food cost e vende a perder. O Gomes de Sá dá 38,8% e o Brás 37,5%. Cinco dos quinze não fecham a esse preço.</t>
        </is>
      </c>
    </row>
    <row r="9">
      <c r="A9" s="52" t="n">
        <v>4</v>
      </c>
      <c r="B9" s="18" t="inlineStr">
        <is>
          <t>Três unidades de stock mal definidas</t>
        </is>
      </c>
      <c r="C9" s="52" t="inlineStr">
        <is>
          <t>Eu + Daniel</t>
        </is>
      </c>
      <c r="D9" s="27" t="inlineStr">
        <is>
          <t>Converter "Manteiga (porção)", "Azeite virgem extra (unidade)" e "Especiarias base (pacote)" para kg ou litro.</t>
        </is>
      </c>
      <c r="E9" s="27" t="inlineStr">
        <is>
          <t>Aparecem em quase todas as fichas. Enquanto a porção não tiver gramagem, o custo de todos os pratos que as usam é aproximado.</t>
        </is>
      </c>
    </row>
    <row r="10">
      <c r="A10" s="52" t="n">
        <v>5</v>
      </c>
      <c r="B10" s="18" t="inlineStr">
        <is>
          <t>Bolo da Dona Célia</t>
        </is>
      </c>
      <c r="C10" s="52" t="inlineStr">
        <is>
          <t>Tu</t>
        </is>
      </c>
      <c r="D10" s="27" t="inlineStr">
        <is>
          <t>Confirmar se é produção externa e obter a ficha de alergénios do produtor.</t>
        </is>
      </c>
      <c r="E10" s="27" t="inlineStr">
        <is>
          <t>Sem rastreabilidade HACCP não pode ir à carta. E não sei se compramos à fatia ou ao bolo inteiro.</t>
        </is>
      </c>
    </row>
    <row r="11">
      <c r="A11" s="52" t="n">
        <v>6</v>
      </c>
      <c r="B11" s="18" t="inlineStr">
        <is>
          <t>Massa de pimentão vs Colorau</t>
        </is>
      </c>
      <c r="C11" s="52" t="inlineStr">
        <is>
          <t>Eu</t>
        </is>
      </c>
      <c r="D11" s="27" t="inlineStr">
        <is>
          <t>Decidir se criamos o item ou usamos o Colorau que já existe.</t>
        </is>
      </c>
      <c r="E11" s="27" t="inlineStr">
        <is>
          <t>Só afecta a Carne de Porco à Alentejana. A massa de pimentão é mais correcta; o colorau resolve sem criar item.</t>
        </is>
      </c>
    </row>
    <row r="12">
      <c r="A12" s="52" t="n">
        <v>7</v>
      </c>
      <c r="B12" s="18" t="inlineStr">
        <is>
          <t>Aplicar o SQL de 16/08</t>
        </is>
      </c>
      <c r="C12" s="52" t="inlineStr">
        <is>
          <t>Daniel</t>
        </is>
      </c>
      <c r="D12" s="27" t="inlineStr">
        <is>
          <t>Correr a migração das doses dos petiscos que já têm ficha.</t>
        </is>
      </c>
      <c r="E12" s="27" t="inlineStr">
        <is>
          <t>Continua pendente. Enquanto não for aplicada, a Coxinha desconta 1 unidade quando saem 5.</t>
        </is>
      </c>
    </row>
    <row r="13">
      <c r="A13" s="47" t="n">
        <v>8</v>
      </c>
      <c r="B13" s="28" t="inlineStr">
        <is>
          <t>Perdas de barril</t>
        </is>
      </c>
      <c r="C13" s="47" t="inlineStr">
        <is>
          <t>Eu</t>
        </is>
      </c>
      <c r="D13" s="31" t="inlineStr">
        <is>
          <t>Definir a percentagem de perda em espuma e limpeza de linha.</t>
        </is>
      </c>
      <c r="E13" s="31" t="inlineStr">
        <is>
          <t>Custeei a imperial de Heineken a 0,46 € sem perda. Com 5-8% de perda passa a ~0,49 €. Pequeno, mas multiplica-se.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6" customWidth="1" min="3" max="3"/>
    <col width="84" customWidth="1" min="4" max="4"/>
  </cols>
  <sheetData>
    <row r="1">
      <c r="A1" s="7" t="inlineStr">
        <is>
          <t>⚠️ 17 DOS 23 PRATOS NÃO EXISTEM NA TABELA PRODUCTS</t>
        </is>
      </c>
      <c r="B1" s="8" t="n"/>
      <c r="C1" s="8" t="n"/>
      <c r="D1" s="8" t="n"/>
    </row>
    <row r="2">
      <c r="A2" s="2" t="inlineStr">
        <is>
          <t>Verificado por consulta directa à BD de produção em 16/08/2026. Sem o produto criado, a ficha técnica não tem a que se ligar.</t>
        </is>
      </c>
    </row>
    <row r="4">
      <c r="A4" s="9" t="inlineStr">
        <is>
          <t>Prato</t>
        </is>
      </c>
      <c r="B4" s="9" t="inlineStr">
        <is>
          <t>Existe em products?</t>
        </is>
      </c>
      <c r="C4" s="9" t="inlineStr">
        <is>
          <t>Tem ficha?</t>
        </is>
      </c>
      <c r="D4" s="9" t="inlineStr">
        <is>
          <t>O que é preciso fazer</t>
        </is>
      </c>
    </row>
    <row r="5">
      <c r="A5" s="10" t="inlineStr">
        <is>
          <t>Bife Acebolado</t>
        </is>
      </c>
      <c r="B5" s="53" t="inlineStr">
        <is>
          <t>NÃO</t>
        </is>
      </c>
      <c r="C5" s="52" t="inlineStr">
        <is>
          <t>NÃO</t>
        </is>
      </c>
      <c r="D5" s="15" t="inlineStr">
        <is>
          <t>Criar o produto em Admin → Ementa antes de aplicar a ficha.</t>
        </is>
      </c>
    </row>
    <row r="6">
      <c r="A6" s="10" t="inlineStr">
        <is>
          <t>Peito de Frango Grelhado</t>
        </is>
      </c>
      <c r="B6" s="53" t="inlineStr">
        <is>
          <t>NÃO</t>
        </is>
      </c>
      <c r="C6" s="52" t="inlineStr">
        <is>
          <t>NÃO</t>
        </is>
      </c>
      <c r="D6" s="15" t="inlineStr">
        <is>
          <t>Criar o produto em Admin → Ementa antes de aplicar a ficha.</t>
        </is>
      </c>
    </row>
    <row r="7">
      <c r="A7" s="10" t="inlineStr">
        <is>
          <t>Bacalhau à Brás</t>
        </is>
      </c>
      <c r="B7" s="53" t="inlineStr">
        <is>
          <t>NÃO</t>
        </is>
      </c>
      <c r="C7" s="52" t="inlineStr">
        <is>
          <t>NÃO</t>
        </is>
      </c>
      <c r="D7" s="15" t="inlineStr">
        <is>
          <t>Criar o produto em Admin → Ementa antes de aplicar a ficha.</t>
        </is>
      </c>
    </row>
    <row r="8">
      <c r="A8" s="10" t="inlineStr">
        <is>
          <t>Filet de Peixe</t>
        </is>
      </c>
      <c r="B8" s="53" t="inlineStr">
        <is>
          <t>NÃO</t>
        </is>
      </c>
      <c r="C8" s="52" t="inlineStr">
        <is>
          <t>NÃO</t>
        </is>
      </c>
      <c r="D8" s="15" t="inlineStr">
        <is>
          <t>Criar o produto em Admin → Ementa antes de aplicar a ficha.</t>
        </is>
      </c>
    </row>
    <row r="9">
      <c r="A9" s="10" t="inlineStr">
        <is>
          <t>Peito de Frango Amilanesa</t>
        </is>
      </c>
      <c r="B9" s="53" t="inlineStr">
        <is>
          <t>NÃO</t>
        </is>
      </c>
      <c r="C9" s="52" t="inlineStr">
        <is>
          <t>NÃO</t>
        </is>
      </c>
      <c r="D9" s="15" t="inlineStr">
        <is>
          <t>Criar o produto em Admin → Ementa antes de aplicar a ficha.</t>
        </is>
      </c>
    </row>
    <row r="10">
      <c r="A10" s="10" t="inlineStr">
        <is>
          <t>Carne de Porco à Alentejana</t>
        </is>
      </c>
      <c r="B10" s="53" t="inlineStr">
        <is>
          <t>NÃO</t>
        </is>
      </c>
      <c r="C10" s="52" t="inlineStr">
        <is>
          <t>NÃO</t>
        </is>
      </c>
      <c r="D10" s="15" t="inlineStr">
        <is>
          <t>Criar o produto em Admin → Ementa antes de aplicar a ficha.</t>
        </is>
      </c>
    </row>
    <row r="11">
      <c r="A11" s="10" t="inlineStr">
        <is>
          <t>Bacalhau a Gomes Sá</t>
        </is>
      </c>
      <c r="B11" s="53" t="inlineStr">
        <is>
          <t>NÃO</t>
        </is>
      </c>
      <c r="C11" s="52" t="inlineStr">
        <is>
          <t>NÃO</t>
        </is>
      </c>
      <c r="D11" s="15" t="inlineStr">
        <is>
          <t>Criar o produto em Admin → Ementa antes de aplicar a ficha.</t>
        </is>
      </c>
    </row>
    <row r="12">
      <c r="A12" s="10" t="inlineStr">
        <is>
          <t>Frango Assado</t>
        </is>
      </c>
      <c r="B12" s="53" t="inlineStr">
        <is>
          <t>NÃO</t>
        </is>
      </c>
      <c r="C12" s="52" t="inlineStr">
        <is>
          <t>NÃO</t>
        </is>
      </c>
      <c r="D12" s="15" t="inlineStr">
        <is>
          <t>Criar o produto em Admin → Ementa antes de aplicar a ficha.</t>
        </is>
      </c>
    </row>
    <row r="13">
      <c r="A13" s="10" t="inlineStr">
        <is>
          <t>Maminha na Chapa</t>
        </is>
      </c>
      <c r="B13" s="53" t="inlineStr">
        <is>
          <t>NÃO</t>
        </is>
      </c>
      <c r="C13" s="52" t="inlineStr">
        <is>
          <t>NÃO</t>
        </is>
      </c>
      <c r="D13" s="15" t="inlineStr">
        <is>
          <t>Criar o produto em Admin → Ementa antes de aplicar a ficha.</t>
        </is>
      </c>
    </row>
    <row r="14">
      <c r="A14" s="10" t="inlineStr">
        <is>
          <t>Bacalhau com Natas</t>
        </is>
      </c>
      <c r="B14" s="53" t="inlineStr">
        <is>
          <t>NÃO</t>
        </is>
      </c>
      <c r="C14" s="52" t="inlineStr">
        <is>
          <t>NÃO</t>
        </is>
      </c>
      <c r="D14" s="15" t="inlineStr">
        <is>
          <t>Criar o produto em Admin → Ementa antes de aplicar a ficha.</t>
        </is>
      </c>
    </row>
    <row r="15">
      <c r="A15" s="10" t="inlineStr">
        <is>
          <t>Carne de Panela</t>
        </is>
      </c>
      <c r="B15" s="53" t="inlineStr">
        <is>
          <t>NÃO</t>
        </is>
      </c>
      <c r="C15" s="52" t="inlineStr">
        <is>
          <t>NÃO</t>
        </is>
      </c>
      <c r="D15" s="15" t="inlineStr">
        <is>
          <t>Criar o produto em Admin → Ementa antes de aplicar a ficha.</t>
        </is>
      </c>
    </row>
    <row r="16">
      <c r="A16" s="10" t="inlineStr">
        <is>
          <t>Piano</t>
        </is>
      </c>
      <c r="B16" s="53" t="inlineStr">
        <is>
          <t>NÃO</t>
        </is>
      </c>
      <c r="C16" s="52" t="inlineStr">
        <is>
          <t>NÃO</t>
        </is>
      </c>
      <c r="D16" s="15" t="inlineStr">
        <is>
          <t>Criar o produto em Admin → Ementa antes de aplicar a ficha.</t>
        </is>
      </c>
    </row>
    <row r="17">
      <c r="A17" s="10" t="inlineStr">
        <is>
          <t>Massada de Perca</t>
        </is>
      </c>
      <c r="B17" s="53" t="inlineStr">
        <is>
          <t>NÃO</t>
        </is>
      </c>
      <c r="C17" s="52" t="inlineStr">
        <is>
          <t>NÃO</t>
        </is>
      </c>
      <c r="D17" s="15" t="inlineStr">
        <is>
          <t>Criar o produto em Admin → Ementa antes de aplicar a ficha.</t>
        </is>
      </c>
    </row>
    <row r="18">
      <c r="A18" s="10" t="inlineStr">
        <is>
          <t>Feijoada da Casa</t>
        </is>
      </c>
      <c r="B18" s="53" t="inlineStr">
        <is>
          <t>NÃO</t>
        </is>
      </c>
      <c r="C18" s="52" t="inlineStr">
        <is>
          <t>NÃO</t>
        </is>
      </c>
      <c r="D18" s="15" t="inlineStr">
        <is>
          <t>Criar o produto em Admin → Ementa antes de aplicar a ficha.</t>
        </is>
      </c>
    </row>
    <row r="19">
      <c r="A19" s="10" t="inlineStr">
        <is>
          <t>Frango Ensopado</t>
        </is>
      </c>
      <c r="B19" s="53" t="inlineStr">
        <is>
          <t>NÃO</t>
        </is>
      </c>
      <c r="C19" s="52" t="inlineStr">
        <is>
          <t>NÃO</t>
        </is>
      </c>
      <c r="D19" s="15" t="inlineStr">
        <is>
          <t>Criar o produto em Admin → Ementa antes de aplicar a ficha.</t>
        </is>
      </c>
    </row>
    <row r="20">
      <c r="A20" s="10" t="inlineStr">
        <is>
          <t>Bitoque da Casa</t>
        </is>
      </c>
      <c r="B20" s="47" t="inlineStr">
        <is>
          <t>SIM</t>
        </is>
      </c>
      <c r="C20" s="52" t="inlineStr">
        <is>
          <t>NÃO</t>
        </is>
      </c>
      <c r="D20" s="15" t="inlineStr">
        <is>
          <t>Produto já existe. A ficha aplica-se directamente.</t>
        </is>
      </c>
    </row>
    <row r="21">
      <c r="A21" s="10" t="inlineStr">
        <is>
          <t>Pica-Pau</t>
        </is>
      </c>
      <c r="B21" s="47" t="inlineStr">
        <is>
          <t>SIM</t>
        </is>
      </c>
      <c r="C21" s="52" t="inlineStr">
        <is>
          <t>NÃO</t>
        </is>
      </c>
      <c r="D21" s="15" t="inlineStr">
        <is>
          <t>Produto já existe. A ficha aplica-se directamente.</t>
        </is>
      </c>
    </row>
    <row r="22">
      <c r="A22" s="10" t="inlineStr">
        <is>
          <t>Tábua da Casa</t>
        </is>
      </c>
      <c r="B22" s="47" t="inlineStr">
        <is>
          <t>SIM</t>
        </is>
      </c>
      <c r="C22" s="52" t="inlineStr">
        <is>
          <t>NÃO</t>
        </is>
      </c>
      <c r="D22" s="15" t="inlineStr">
        <is>
          <t>Produto já existe. A ficha aplica-se directamente.</t>
        </is>
      </c>
    </row>
    <row r="23">
      <c r="A23" s="10" t="inlineStr">
        <is>
          <t>Azeitonas Temperadas</t>
        </is>
      </c>
      <c r="B23" s="47" t="inlineStr">
        <is>
          <t>SIM</t>
        </is>
      </c>
      <c r="C23" s="52" t="inlineStr">
        <is>
          <t>NÃO</t>
        </is>
      </c>
      <c r="D23" s="15" t="inlineStr">
        <is>
          <t>Produto já existe. A ficha aplica-se directamente.</t>
        </is>
      </c>
    </row>
    <row r="24">
      <c r="A24" s="10" t="inlineStr">
        <is>
          <t>Tremoços</t>
        </is>
      </c>
      <c r="B24" s="47" t="inlineStr">
        <is>
          <t>SIM</t>
        </is>
      </c>
      <c r="C24" s="52" t="inlineStr">
        <is>
          <t>NÃO</t>
        </is>
      </c>
      <c r="D24" s="15" t="inlineStr">
        <is>
          <t>Produto já existe. A ficha aplica-se directamente.</t>
        </is>
      </c>
    </row>
    <row r="25">
      <c r="A25" s="10" t="inlineStr">
        <is>
          <t>Bolo da Dona Célia (fatia)</t>
        </is>
      </c>
      <c r="B25" s="47" t="inlineStr">
        <is>
          <t>SIM</t>
        </is>
      </c>
      <c r="C25" s="52" t="inlineStr">
        <is>
          <t>NÃO</t>
        </is>
      </c>
      <c r="D25" s="15" t="inlineStr">
        <is>
          <t>Produto já existe. A ficha aplica-se directamente.</t>
        </is>
      </c>
    </row>
    <row r="26">
      <c r="A26" s="10" t="inlineStr">
        <is>
          <t>Heineken (imperial)</t>
        </is>
      </c>
      <c r="B26" s="53" t="inlineStr">
        <is>
          <t>NÃO</t>
        </is>
      </c>
      <c r="C26" s="52" t="inlineStr">
        <is>
          <t>NÃO</t>
        </is>
      </c>
      <c r="D26" s="15" t="inlineStr">
        <is>
          <t>Criar o produto em Admin → Ementa antes de aplicar a ficha.</t>
        </is>
      </c>
    </row>
    <row r="27">
      <c r="A27" s="10" t="inlineStr">
        <is>
          <t>Copo Cheio (IPA da casa)</t>
        </is>
      </c>
      <c r="B27" s="53" t="inlineStr">
        <is>
          <t>NÃO</t>
        </is>
      </c>
      <c r="C27" s="52" t="inlineStr">
        <is>
          <t>NÃO</t>
        </is>
      </c>
      <c r="D27" s="15" t="inlineStr">
        <is>
          <t>Existe um produto "Copo Cheio" na categoria Cervejas, a 1,84 €, que parece registo de teste. Corrigir o nome e o preço antes de ligar a ficha.</t>
        </is>
      </c>
    </row>
    <row r="29">
      <c r="A29" s="62" t="inlineStr">
        <is>
          <t>RESUMO</t>
        </is>
      </c>
    </row>
    <row r="30">
      <c r="A30" s="33" t="inlineStr">
        <is>
          <t>Pratos que já existem em products</t>
        </is>
      </c>
      <c r="B30" s="64" t="n">
        <v>6</v>
      </c>
    </row>
    <row r="31">
      <c r="A31" s="33" t="inlineStr">
        <is>
          <t>Pratos a criar em products</t>
        </is>
      </c>
      <c r="B31" s="65" t="n">
        <v>17</v>
      </c>
    </row>
    <row r="32">
      <c r="A32" s="33" t="inlineStr">
        <is>
          <t>Itens de stock a criar</t>
        </is>
      </c>
      <c r="B32" s="66" t="n">
        <v>18</v>
      </c>
    </row>
    <row r="33">
      <c r="A33" s="33" t="inlineStr">
        <is>
          <t>Linhas de ficha técnica prontas a inserir</t>
        </is>
      </c>
      <c r="B33" s="64" t="n">
        <v>239</v>
      </c>
    </row>
    <row r="35">
      <c r="A35" s="67" t="inlineStr">
        <is>
          <t>Ordem de execução: 1) criar os 18 itens de stock · 2) criar os 17 produtos em falta com os preços da grelha · 3) correr o SQL das fichas · 4) correr o SQL das doses dos petiscos, que está pendente desde 16/08.</t>
        </is>
      </c>
      <c r="B35" s="20" t="n"/>
      <c r="C35" s="20" t="n"/>
      <c r="D35" s="20" t="n"/>
    </row>
  </sheetData>
  <mergeCells count="1">
    <mergeCell ref="A35:D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2026-08-16T13:32:59Z</dcterms:created>
  <dcterms:modified xmlns:dcterms="http://purl.org/dc/terms/" xmlns:xsi="http://www.w3.org/2001/XMLSchema-instance" xsi:type="dcterms:W3CDTF">2026-08-16T13:32:59Z</dcterms:modified>
</cp:coreProperties>
</file>