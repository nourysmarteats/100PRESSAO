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erações Feitas" sheetId="1" state="visible" r:id="rId3"/>
    <sheet name="Ementa Balcão" sheetId="2" state="visible" r:id="rId4"/>
    <sheet name="Ementa Delive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<sst xmlns="http://schemas.openxmlformats.org/spreadsheetml/2006/main" count="619" uniqueCount="269">
  <si>
    <t xml:space="preserve">Correções da Rita à Tabela Organizada</t>
  </si>
  <si>
    <t xml:space="preserve">Ficheiro original: Ementa 100Pressão - Tabela Organizada.xlsx (enviado por Leandro, 16/07/2026)</t>
  </si>
  <si>
    <t xml:space="preserve">Item</t>
  </si>
  <si>
    <t xml:space="preserve">Valor no ficheiro enviado</t>
  </si>
  <si>
    <t xml:space="preserve">Valor corrigido</t>
  </si>
  <si>
    <t xml:space="preserve">Motivo</t>
  </si>
  <si>
    <t xml:space="preserve">Coxinha de Frango</t>
  </si>
  <si>
    <t xml:space="preserve">8 unidades — €7,50</t>
  </si>
  <si>
    <t xml:space="preserve">5 unidades — €7,50</t>
  </si>
  <si>
    <t xml:space="preserve">Com 8 unidades ao mesmo preço o food cost sobe de ~48% para ~77% (inviável). Revertido para 5 unidades, que é o que está validado em todo o resto do material (vault, food-cost, PDF da ementa). Se a intenção for mesmo servir 8 unidades, o preço tem de subir para perto de €13-14 — a confirmar comigo antes.</t>
  </si>
  <si>
    <t xml:space="preserve">Pastéis de Bacalhau</t>
  </si>
  <si>
    <t xml:space="preserve">5 unidades</t>
  </si>
  <si>
    <t xml:space="preserve">6 unidades</t>
  </si>
  <si>
    <t xml:space="preserve">Inconsistente com o vault e com o food-cost já validado. Revertido para 6 unidades; avisar se a redução para 5 foi intencional.</t>
  </si>
  <si>
    <t xml:space="preserve">Rissóis de Gambas</t>
  </si>
  <si>
    <t xml:space="preserve">Mesma situação dos Pastéis de Bacalhau — revertido para 6 unidades.</t>
  </si>
  <si>
    <t xml:space="preserve">Noite Fechada (Stout)</t>
  </si>
  <si>
    <t xml:space="preserve">6,6% ABV</t>
  </si>
  <si>
    <t xml:space="preserve">5,6% ABV</t>
  </si>
  <si>
    <t xml:space="preserve">Todo o resto do material (vault, ficha da cerveja, ementa gráfica) tem 5,6%. Assumido erro de transcrição — confirmar se a receita realmente mudou.</t>
  </si>
  <si>
    <t xml:space="preserve">Licor 43</t>
  </si>
  <si>
    <t xml:space="preserve">€4,00</t>
  </si>
  <si>
    <t xml:space="preserve">€4,50</t>
  </si>
  <si>
    <t xml:space="preserve">Preço não batia com o vault. Revertido.</t>
  </si>
  <si>
    <t xml:space="preserve">Baileys</t>
  </si>
  <si>
    <t xml:space="preserve">€3,50</t>
  </si>
  <si>
    <t xml:space="preserve">Aguardente Velha</t>
  </si>
  <si>
    <t xml:space="preserve">Cachaça Envelhecida (digestivo)</t>
  </si>
  <si>
    <t xml:space="preserve">€5,00 → aparecia €4,50</t>
  </si>
  <si>
    <t xml:space="preserve">€5,00</t>
  </si>
  <si>
    <t xml:space="preserve">Água com Gás (33cl)</t>
  </si>
  <si>
    <t xml:space="preserve">genérico</t>
  </si>
  <si>
    <t xml:space="preserve">Água das Pedras (33cl)</t>
  </si>
  <si>
    <t xml:space="preserve">Pedido do Leandro — usar a marca real, como já acontece com Coca-Cola, Fanta/Sprite e Guaraná Antarctica. Preço mantido, marcado * a confirmar (o custo da marca pode diferir do genérico).</t>
  </si>
  <si>
    <t xml:space="preserve">Ucal (Citrino)</t>
  </si>
  <si>
    <t xml:space="preserve">não existia</t>
  </si>
  <si>
    <t xml:space="preserve">adicionado, preço * a confirmar</t>
  </si>
  <si>
    <t xml:space="preserve">Pedido do Leandro — em falta na lista de refrigerantes.</t>
  </si>
  <si>
    <t xml:space="preserve">Nome</t>
  </si>
  <si>
    <t xml:space="preserve">Composição</t>
  </si>
  <si>
    <t xml:space="preserve">Alergénio</t>
  </si>
  <si>
    <t xml:space="preserve">Harmoniza</t>
  </si>
  <si>
    <t xml:space="preserve">Valor</t>
  </si>
  <si>
    <t xml:space="preserve">PETISCOS PORTUGUESES</t>
  </si>
  <si>
    <t xml:space="preserve">Tábua da Casa (2-3 pessoas)</t>
  </si>
  <si>
    <t xml:space="preserve">Queijo da Serra e Azeitão, presunto, chouriço, paio e marmelada em tábua.</t>
  </si>
  <si>
    <t xml:space="preserve">LEITE, GLÚTEN</t>
  </si>
  <si>
    <t xml:space="preserve">NOITE FECHADA - STOUT</t>
  </si>
  <si>
    <t xml:space="preserve">17,90 €</t>
  </si>
  <si>
    <t xml:space="preserve">Pastéis de Bacalhau (6 unidades)</t>
  </si>
  <si>
    <t xml:space="preserve">Bacalhau desfiado e puré de batata, moldados e fritos na hora.</t>
  </si>
  <si>
    <t xml:space="preserve">PEIXE, OVO</t>
  </si>
  <si>
    <t xml:space="preserve">PRESSÃO DA CASA LAGER</t>
  </si>
  <si>
    <t xml:space="preserve">8,90 €</t>
  </si>
  <si>
    <t xml:space="preserve">Moelas Estufadas</t>
  </si>
  <si>
    <t xml:space="preserve">Estufadas em vinho branco, tomate, colorau e louro - lume brando.</t>
  </si>
  <si>
    <t xml:space="preserve">SULFITOS</t>
  </si>
  <si>
    <t xml:space="preserve">11,90 €</t>
  </si>
  <si>
    <t xml:space="preserve">Rissóis de Gambas (6 unidades)</t>
  </si>
  <si>
    <t xml:space="preserve">Recheio cremoso de gambas com noz-moscada, panados e fritos.</t>
  </si>
  <si>
    <t xml:space="preserve">CRUSTÁCEOS, GLÚTEN, LEITE, OVO</t>
  </si>
  <si>
    <t xml:space="preserve">6,90 €</t>
  </si>
  <si>
    <t xml:space="preserve">Pica-Pau</t>
  </si>
  <si>
    <t xml:space="preserve">Lombo salteado em alho e vinho branco, mostarda e pepino de conserva.</t>
  </si>
  <si>
    <t xml:space="preserve">MOSTARDA, SULFITOS</t>
  </si>
  <si>
    <t xml:space="preserve">COPO CHEIO IPA</t>
  </si>
  <si>
    <t xml:space="preserve">14,90 €</t>
  </si>
  <si>
    <t xml:space="preserve">PETISCOS BRASILEIROS</t>
  </si>
  <si>
    <t xml:space="preserve">Batatas Fritas com Cheddar e Bacon</t>
  </si>
  <si>
    <t xml:space="preserve">Fritura dupla até dourar, cheddar derretido e bacon estaladiço.</t>
  </si>
  <si>
    <t xml:space="preserve">LEITE</t>
  </si>
  <si>
    <t xml:space="preserve">9,90 €</t>
  </si>
  <si>
    <t xml:space="preserve">Bolinhas de Feijoada (8 unidades)</t>
  </si>
  <si>
    <t xml:space="preserve">Feijoada desfiada e escorrida, panada e frita.</t>
  </si>
  <si>
    <t xml:space="preserve">GLÚTEN, OVO</t>
  </si>
  <si>
    <t xml:space="preserve">NOITE FECHADA STOUT</t>
  </si>
  <si>
    <t xml:space="preserve">5,90 €</t>
  </si>
  <si>
    <t xml:space="preserve">Bolinhas de Mandioca com Carne e Queijo (8 unidades)</t>
  </si>
  <si>
    <t xml:space="preserve">Mandioca amassada recheada de carne picada e queijo.</t>
  </si>
  <si>
    <t xml:space="preserve">LEITE, GLÚTEN, OVO</t>
  </si>
  <si>
    <t xml:space="preserve">Calabresa Acebolada</t>
  </si>
  <si>
    <t xml:space="preserve">Linguiça grelhada na travessa de ferro, cebola caramelizada à parte.</t>
  </si>
  <si>
    <t xml:space="preserve">A CONFIRMAR †</t>
  </si>
  <si>
    <t xml:space="preserve">COPO CHEIO-IPA</t>
  </si>
  <si>
    <t xml:space="preserve">12,90 €</t>
  </si>
  <si>
    <t xml:space="preserve">Pastéis de Vento (Sortidos) (9 unidades, 3 recheios)</t>
  </si>
  <si>
    <t xml:space="preserve">Queijo, carne desfiada e camarão - três recheios, uma massa fininha.</t>
  </si>
  <si>
    <t xml:space="preserve">GLÚTEN, LEITE, CRUSTÁCEOS</t>
  </si>
  <si>
    <t xml:space="preserve">7,90 €</t>
  </si>
  <si>
    <t xml:space="preserve">Coxinha de Frango (5 unidades) *</t>
  </si>
  <si>
    <t xml:space="preserve">Frango desfiado e requeijão, o clássico de boteco, em forma de gota.</t>
  </si>
  <si>
    <t xml:space="preserve">GLÚTEN, LEITE, OVO</t>
  </si>
  <si>
    <t xml:space="preserve">7,50 €</t>
  </si>
  <si>
    <t xml:space="preserve">COMBOS PARA PARTILHAR</t>
  </si>
  <si>
    <t xml:space="preserve">SABORES DE PORTUGAL</t>
  </si>
  <si>
    <t xml:space="preserve">Pastéis de Bacalhau + Rissóis de Gambas + Jarro 1L Pressão da Casa, Sagres ou Refrigerante 1,5L (2-3 pessoas)</t>
  </si>
  <si>
    <t xml:space="preserve">PEIXE, OVO, CRUSTÁCEOS, GLÚTEN, LEITE</t>
  </si>
  <si>
    <t xml:space="preserve">22,50 €</t>
  </si>
  <si>
    <t xml:space="preserve">BOTECO BRASILEIRO</t>
  </si>
  <si>
    <t xml:space="preserve">Bolinhas de Mandioca + Coxinha de Frango + Jarro 1L Copo Cheio, Sagres 1L ou Refrigerante 1,5L (2-3 pessoas)</t>
  </si>
  <si>
    <t xml:space="preserve">23,50 €</t>
  </si>
  <si>
    <t xml:space="preserve">TÁBUA PARA DOIS (LUSO-BRASILEIRO)</t>
  </si>
  <si>
    <t xml:space="preserve">Tábua da Casa + Jarro 1L Noite Fechada, Sagres 1L ou Refrigerante 1,5L (2-3 pessoas)</t>
  </si>
  <si>
    <t xml:space="preserve">27,90 €</t>
  </si>
  <si>
    <t xml:space="preserve">MOELAS E MANDIOCA</t>
  </si>
  <si>
    <t xml:space="preserve">Moelas Estufadas + Bolinhas de Mandioca c/ Carne e Queijo + Jarro 1L Pressão da Casa, Sagres ou Refrigerante 1,5L (3-4 pessoas)</t>
  </si>
  <si>
    <t xml:space="preserve">SULFITOS, LEITE, GLÚTEN, OVO</t>
  </si>
  <si>
    <t xml:space="preserve">25,50 €</t>
  </si>
  <si>
    <t xml:space="preserve">PEQUENO-ALMOÇO - BEBIDAS</t>
  </si>
  <si>
    <t xml:space="preserve">Café Expresso</t>
  </si>
  <si>
    <t xml:space="preserve">1,20 €</t>
  </si>
  <si>
    <t xml:space="preserve">Café Macchiato</t>
  </si>
  <si>
    <t xml:space="preserve">1,40 €</t>
  </si>
  <si>
    <t xml:space="preserve">Americano</t>
  </si>
  <si>
    <t xml:space="preserve">1,50 €</t>
  </si>
  <si>
    <t xml:space="preserve">Cappuccino</t>
  </si>
  <si>
    <t xml:space="preserve">1,90 €</t>
  </si>
  <si>
    <t xml:space="preserve">Galão</t>
  </si>
  <si>
    <t xml:space="preserve">1,80 €</t>
  </si>
  <si>
    <t xml:space="preserve">Meia de Leite</t>
  </si>
  <si>
    <t xml:space="preserve">1,60 €</t>
  </si>
  <si>
    <t xml:space="preserve">Chá</t>
  </si>
  <si>
    <t xml:space="preserve">Café Coado (brasileiro)</t>
  </si>
  <si>
    <t xml:space="preserve">2,00 €</t>
  </si>
  <si>
    <t xml:space="preserve">Sumo de Laranja Natural</t>
  </si>
  <si>
    <t xml:space="preserve">3,00 €</t>
  </si>
  <si>
    <t xml:space="preserve">Sumo de Manga/Maracujá Natural</t>
  </si>
  <si>
    <t xml:space="preserve">3,50 €</t>
  </si>
  <si>
    <t xml:space="preserve">PEQUENO-ALMOÇO - SALGADOS E DOCES</t>
  </si>
  <si>
    <t xml:space="preserve">Tosta Simples</t>
  </si>
  <si>
    <t xml:space="preserve">Tosta Mista</t>
  </si>
  <si>
    <t xml:space="preserve">Croissant Simples</t>
  </si>
  <si>
    <t xml:space="preserve">Croissant Misto</t>
  </si>
  <si>
    <t xml:space="preserve">3,20 €</t>
  </si>
  <si>
    <t xml:space="preserve">Pão de Queijo (unidade)</t>
  </si>
  <si>
    <t xml:space="preserve">Pão de Queijo (trio)</t>
  </si>
  <si>
    <t xml:space="preserve">Torrada de Broa c/ manteiga e queijo fresco</t>
  </si>
  <si>
    <t xml:space="preserve">3,80 €</t>
  </si>
  <si>
    <t xml:space="preserve">Ovos Mexidos c/ coentros</t>
  </si>
  <si>
    <t xml:space="preserve">4,00 €</t>
  </si>
  <si>
    <t xml:space="preserve">Fruta Fresca da Época</t>
  </si>
  <si>
    <t xml:space="preserve">2,50 €</t>
  </si>
  <si>
    <t xml:space="preserve">Abacaxi com Hortelã</t>
  </si>
  <si>
    <t xml:space="preserve">Bolo da Dona Célia (fatia)</t>
  </si>
  <si>
    <t xml:space="preserve">Laranja, Lima, Baunilha ou Chocolate</t>
  </si>
  <si>
    <t xml:space="preserve">2,80 €</t>
  </si>
  <si>
    <t xml:space="preserve">PEQUENO-ALMOÇO - COMBOS</t>
  </si>
  <si>
    <t xml:space="preserve">COMBO PORTUGUÊS</t>
  </si>
  <si>
    <t xml:space="preserve">Tosta Mista + Sumo de Laranja + Café Expresso</t>
  </si>
  <si>
    <t xml:space="preserve">6,50 €</t>
  </si>
  <si>
    <t xml:space="preserve">COMBO BRASILEIRO</t>
  </si>
  <si>
    <t xml:space="preserve">Pão de Queijo (trio) + Fruta + Café Coado + Sumo Manga/Maracujá</t>
  </si>
  <si>
    <t xml:space="preserve">9,50 €</t>
  </si>
  <si>
    <t xml:space="preserve">COMBO 100PRESSÃO</t>
  </si>
  <si>
    <t xml:space="preserve">Torrada de Broa + Ovos Mexidos + Café + Sumo à escolha</t>
  </si>
  <si>
    <t xml:space="preserve">10,50 €</t>
  </si>
  <si>
    <t xml:space="preserve">ALMOÇO PRATO FEITO</t>
  </si>
  <si>
    <t xml:space="preserve">Bife Acebolado</t>
  </si>
  <si>
    <t xml:space="preserve">Bife grelhado, cebola caramelizada (inclui base fixa)</t>
  </si>
  <si>
    <t xml:space="preserve">Leite (farofa)</t>
  </si>
  <si>
    <t xml:space="preserve">Frango Grelhado</t>
  </si>
  <si>
    <t xml:space="preserve">Peito marinado em limão e coentros (inclui base fixa)</t>
  </si>
  <si>
    <t xml:space="preserve">Porco à Moda do Chef</t>
  </si>
  <si>
    <t xml:space="preserve">Entremeada, colorau e pimenta dedo-de-moça (inclui base fixa)</t>
  </si>
  <si>
    <t xml:space="preserve">Frango à Passarinho</t>
  </si>
  <si>
    <t xml:space="preserve">Frango em pedaços com osso, marinado em alho e limão, polvilhado em farinha e frito até crocante (inclui base fixa)</t>
  </si>
  <si>
    <t xml:space="preserve">Leite (farofa), GLÚTEN</t>
  </si>
  <si>
    <t xml:space="preserve">Bacalhau à Brás</t>
  </si>
  <si>
    <t xml:space="preserve">Bacalhau desfiado, batata palha, ovo (inclui base fixa)</t>
  </si>
  <si>
    <t xml:space="preserve">Leite (farofa), PEIXE, OVO</t>
  </si>
  <si>
    <t xml:space="preserve">13,90 €</t>
  </si>
  <si>
    <t xml:space="preserve">Carne de Sol com Mandioca</t>
  </si>
  <si>
    <t xml:space="preserve">Carne de sol dessalgada 12h, grelhada em lume alto, mandioca cozida, manteiga de garrafa e cebola salteada (inclui base fixa)</t>
  </si>
  <si>
    <t xml:space="preserve">Leite (farofa), LEITE</t>
  </si>
  <si>
    <t xml:space="preserve">Peixe do Dia</t>
  </si>
  <si>
    <t xml:space="preserve">Peixe fresco de mercado, grelhado ou assado conforme o corte, com azeite, limão e ervas (inclui base fixa)</t>
  </si>
  <si>
    <t xml:space="preserve">Leite (farofa), PEIXE (demais variam)</t>
  </si>
  <si>
    <t xml:space="preserve">Preço do dia</t>
  </si>
  <si>
    <t xml:space="preserve">ALMOÇO - SEMPRE DISPONÍVEL</t>
  </si>
  <si>
    <t xml:space="preserve">BITOQUE DA CASA</t>
  </si>
  <si>
    <t xml:space="preserve">Bife de vaca grelhado, ovo estrelado, batatas fritas, arroz branco e molho da casa (manteiga, alho, vinho branco, mostarda). Inclui bebida e café.</t>
  </si>
  <si>
    <t xml:space="preserve">Ovo, Mostarda, Sulfitos</t>
  </si>
  <si>
    <t xml:space="preserve">13,50 €</t>
  </si>
  <si>
    <t xml:space="preserve">BAR - CERVEJAS DA CASA</t>
  </si>
  <si>
    <t xml:space="preserve">PRESSÃO DA CASA - LAGER ARTESANAL</t>
  </si>
  <si>
    <t xml:space="preserve">Leve e cristalina - a sessão sem fim (4,8%)</t>
  </si>
  <si>
    <t xml:space="preserve">GLÚTEN</t>
  </si>
  <si>
    <t xml:space="preserve">3,50 € (33cl)</t>
  </si>
  <si>
    <t xml:space="preserve">COPO CHEIO - IPA</t>
  </si>
  <si>
    <t xml:space="preserve">Amargor floral, final seco (6,2%)</t>
  </si>
  <si>
    <t xml:space="preserve">4,50 € (33cl)</t>
  </si>
  <si>
    <t xml:space="preserve">Torrada, encorpada, notas de café (5,6%)</t>
  </si>
  <si>
    <t xml:space="preserve">4,80 € (33cl)</t>
  </si>
  <si>
    <t xml:space="preserve">BAR - REFRIGERANTES E ÁGUAS</t>
  </si>
  <si>
    <t xml:space="preserve">Água sem Gás (33cl)</t>
  </si>
  <si>
    <t xml:space="preserve">Água das Pedras (33cl) *</t>
  </si>
  <si>
    <t xml:space="preserve">Coca-Cola/Coca-Cola Zero</t>
  </si>
  <si>
    <t xml:space="preserve">Fanta / Sprite</t>
  </si>
  <si>
    <t xml:space="preserve">Guaraná Antarctica</t>
  </si>
  <si>
    <t xml:space="preserve">Ice Tea</t>
  </si>
  <si>
    <t xml:space="preserve">Ucal (Citrino) *</t>
  </si>
  <si>
    <t xml:space="preserve">a confirmar</t>
  </si>
  <si>
    <t xml:space="preserve">BAR - SUMOS</t>
  </si>
  <si>
    <t xml:space="preserve">Sumo de Ananás</t>
  </si>
  <si>
    <t xml:space="preserve">Néctar de Pêssego/Maçã</t>
  </si>
  <si>
    <t xml:space="preserve">BAR - VINHOS</t>
  </si>
  <si>
    <t xml:space="preserve">Vinho Verde (Copo)</t>
  </si>
  <si>
    <t xml:space="preserve">Vinho Verde (Garrafa)</t>
  </si>
  <si>
    <t xml:space="preserve">16,00 €</t>
  </si>
  <si>
    <t xml:space="preserve">Branco da Casa (Copo)</t>
  </si>
  <si>
    <t xml:space="preserve">Branco da Casa (Garrafa)</t>
  </si>
  <si>
    <t xml:space="preserve">Tinto da Casa (Copo)</t>
  </si>
  <si>
    <t xml:space="preserve">Tinto da Casa (Garrafa)</t>
  </si>
  <si>
    <t xml:space="preserve">17,00 €</t>
  </si>
  <si>
    <t xml:space="preserve">Rosé (Copo)</t>
  </si>
  <si>
    <t xml:space="preserve">Rosé (Garrafa)</t>
  </si>
  <si>
    <t xml:space="preserve">Espumante Bruto (Copo)</t>
  </si>
  <si>
    <t xml:space="preserve">4,50 €</t>
  </si>
  <si>
    <t xml:space="preserve">Espumante Bruto (Garrafa)</t>
  </si>
  <si>
    <t xml:space="preserve">22,00 €</t>
  </si>
  <si>
    <t xml:space="preserve">BAR - ESPIRITUOSAS &amp; DESTILADOS</t>
  </si>
  <si>
    <t xml:space="preserve">Gin Nacional + Tónica</t>
  </si>
  <si>
    <t xml:space="preserve">8,00 €</t>
  </si>
  <si>
    <t xml:space="preserve">Gin Premium + Tónica</t>
  </si>
  <si>
    <t xml:space="preserve">10,00 €</t>
  </si>
  <si>
    <t xml:space="preserve">Vodka</t>
  </si>
  <si>
    <t xml:space="preserve">5,00 €</t>
  </si>
  <si>
    <t xml:space="preserve">Whisky (Blend Nacional)</t>
  </si>
  <si>
    <t xml:space="preserve">5,50 €</t>
  </si>
  <si>
    <t xml:space="preserve">Whisky Premium (Single Malt)</t>
  </si>
  <si>
    <t xml:space="preserve">8,50 €</t>
  </si>
  <si>
    <t xml:space="preserve">Rum Branco/Dourado</t>
  </si>
  <si>
    <t xml:space="preserve">Cachaça</t>
  </si>
  <si>
    <t xml:space="preserve">Tequila</t>
  </si>
  <si>
    <t xml:space="preserve">BAR - DIGESTIVOS E LICORES</t>
  </si>
  <si>
    <t xml:space="preserve">Ginjinha</t>
  </si>
  <si>
    <t xml:space="preserve">Licor Beirão</t>
  </si>
  <si>
    <t xml:space="preserve">Amaro</t>
  </si>
  <si>
    <t xml:space="preserve">Ementa Delivery — Uber Eats / Glovo / Bolt Food</t>
  </si>
  <si>
    <t xml:space="preserve">Markup de +15% sobre o preço de balcão (decisão do Leandro, 16/07/2026), arredondado a 0,10€. Cervejas da casa confirmadas com versão engarrafada/enlatada — entram no delivery.</t>
  </si>
  <si>
    <t xml:space="preserve">Composição (Delivery)</t>
  </si>
  <si>
    <t xml:space="preserve">Disponível
Delivery</t>
  </si>
  <si>
    <t xml:space="preserve">Preço
Balcão</t>
  </si>
  <si>
    <t xml:space="preserve">Preço
Delivery (+15%)</t>
  </si>
  <si>
    <t xml:space="preserve">Nota</t>
  </si>
  <si>
    <t xml:space="preserve">Queijo da Serra e Azeitão, presunto, chouriço, paio e marmelada — embalagem individual compartimentada para viagem (não é a tábua de madeira do balcão).</t>
  </si>
  <si>
    <t xml:space="preserve">Adaptado</t>
  </si>
  <si>
    <t xml:space="preserve">Repensar apresentação: dividir em caixa individual. Food cost da embalagem ainda não está calculado — validar antes de publicar na plataforma.</t>
  </si>
  <si>
    <t xml:space="preserve">Sim</t>
  </si>
  <si>
    <t xml:space="preserve">Usar embalagem ventilada para não amolecer.</t>
  </si>
  <si>
    <t xml:space="preserve">Viaja bem, é estufado.</t>
  </si>
  <si>
    <t xml:space="preserve">Perde crocância em trajetos longos — considerar aviso na app.</t>
  </si>
  <si>
    <t xml:space="preserve">Não publicar enquanto o alergénio não estiver confirmado com o fornecedor.</t>
  </si>
  <si>
    <t xml:space="preserve">Preço ainda sugerido — validar food-cost antes de publicar.</t>
  </si>
  <si>
    <t xml:space="preserve">Pastéis de Bacalhau + Rissóis de Gambas + Garrafa/Lata individual Pressão da Casa ou Sagres, ou Refrigerante 33cl (1 pessoa)</t>
  </si>
  <si>
    <t xml:space="preserve">Jarro 1L de pressão não é entregável. Trocado por garrafa/lata individual e ajustado para 1 pessoa — preço da coluna é só uma sugestão provisória, precisa de novo food-cost.</t>
  </si>
  <si>
    <t xml:space="preserve">Bolinhas de Mandioca + Coxinha de Frango + Garrafa/Lata individual Copo Cheio ou Sagres, ou Refrigerante 33cl (1 pessoa)</t>
  </si>
  <si>
    <t xml:space="preserve">Tábua da Casa (embalagem individual) + Garrafa/Lata individual Noite Fechada ou Sagres, ou Refrigerante 33cl (1 pessoa)</t>
  </si>
  <si>
    <t xml:space="preserve">Jarro 1L de pressão não é entregável. Trocado por garrafa/lata individual — preço da coluna é só uma sugestão provisória, precisa de novo food-cost.</t>
  </si>
  <si>
    <t xml:space="preserve">Moelas Estufadas + Bolinhas de Mandioca c/ Carne e Queijo + Garrafa/Lata individual Pressão da Casa ou Sagres, ou Refrigerante 33cl (1-2 pessoas)</t>
  </si>
  <si>
    <t xml:space="preserve">—</t>
  </si>
  <si>
    <t xml:space="preserve">As plataformas exigem preço fixo por SKU — "preço do dia" não funciona. Definir um preço fixo médio para o delivery (ajustar manualmente se o peixe do dia mudar muito) ou retirar este prato do cardápio digital.</t>
  </si>
  <si>
    <t xml:space="preserve">Leve e cristalina - a sessão sem fim (4,8%) — garrafa/lata 33cl</t>
  </si>
  <si>
    <t xml:space="preserve">Confirmar custo da garrafa/lata (pode diferir do copo de pressão).</t>
  </si>
  <si>
    <t xml:space="preserve">Amargor floral, final seco (6,2%) — garrafa/lata 33cl</t>
  </si>
  <si>
    <t xml:space="preserve">Torrada, encorpada, notas de café (5,6%) — garrafa/lata 33cl</t>
  </si>
  <si>
    <t xml:space="preserve">Não</t>
  </si>
  <si>
    <t xml:space="preserve">Copo aberto não é entregável — só a versão garrafa.</t>
  </si>
  <si>
    <t xml:space="preserve">Vendido em dose ao copo, não em garrafa lacrada — não aplicável às plataformas de delivery tal como está. Só entra se houver SKU de garrafa cheia à venda.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</si>
</sst>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181D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181D"/>
        <bgColor rgb="FF000000"/>
      </patternFill>
    </fill>
    <fill>
      <patternFill patternType="solid">
        <fgColor rgb="FFFCE4E4"/>
        <bgColor rgb="FFFFF3D6"/>
      </patternFill>
    </fill>
    <fill>
      <patternFill patternType="solid">
        <fgColor rgb="FFD9D9D9"/>
        <bgColor rgb="FFCCCCCC"/>
      </patternFill>
    </fill>
    <fill>
      <patternFill patternType="solid">
        <fgColor rgb="FFFFF3D6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8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2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42" hidden="false" customHeight="tru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42" hidden="false" customHeight="true" outlineLevel="0" collapsed="false">
      <c r="A7" s="4" t="s">
        <v>14</v>
      </c>
      <c r="B7" s="4" t="s">
        <v>11</v>
      </c>
      <c r="C7" s="4" t="s">
        <v>12</v>
      </c>
      <c r="D7" s="4" t="s">
        <v>15</v>
      </c>
    </row>
    <row r="8" customFormat="false" ht="42" hidden="false" customHeight="true" outlineLevel="0" collapsed="false">
      <c r="A8" s="4" t="s">
        <v>16</v>
      </c>
      <c r="B8" s="4" t="s">
        <v>17</v>
      </c>
      <c r="C8" s="4" t="s">
        <v>18</v>
      </c>
      <c r="D8" s="4" t="s">
        <v>19</v>
      </c>
    </row>
    <row r="9" customFormat="false" ht="42" hidden="false" customHeight="true" outlineLevel="0" collapsed="false">
      <c r="A9" s="4" t="s">
        <v>20</v>
      </c>
      <c r="B9" s="4" t="s">
        <v>21</v>
      </c>
      <c r="C9" s="4" t="s">
        <v>22</v>
      </c>
      <c r="D9" s="4" t="s">
        <v>23</v>
      </c>
    </row>
    <row r="10" customFormat="false" ht="42" hidden="false" customHeight="true" outlineLevel="0" collapsed="false">
      <c r="A10" s="4" t="s">
        <v>24</v>
      </c>
      <c r="B10" s="4" t="s">
        <v>25</v>
      </c>
      <c r="C10" s="4" t="s">
        <v>22</v>
      </c>
      <c r="D10" s="4" t="s">
        <v>23</v>
      </c>
    </row>
    <row r="11" customFormat="false" ht="42" hidden="false" customHeight="true" outlineLevel="0" collapsed="false">
      <c r="A11" s="4" t="s">
        <v>26</v>
      </c>
      <c r="B11" s="4" t="s">
        <v>22</v>
      </c>
      <c r="C11" s="4" t="s">
        <v>21</v>
      </c>
      <c r="D11" s="4" t="s">
        <v>23</v>
      </c>
    </row>
    <row r="12" customFormat="false" ht="42" hidden="false" customHeight="true" outlineLevel="0" collapsed="false">
      <c r="A12" s="4" t="s">
        <v>27</v>
      </c>
      <c r="B12" s="4" t="s">
        <v>28</v>
      </c>
      <c r="C12" s="4" t="s">
        <v>29</v>
      </c>
      <c r="D12" s="4" t="s">
        <v>23</v>
      </c>
    </row>
    <row r="13" customFormat="false" ht="42" hidden="false" customHeight="true" outlineLevel="0" collapsed="false">
      <c r="A13" s="4" t="s">
        <v>30</v>
      </c>
      <c r="B13" s="4" t="s">
        <v>31</v>
      </c>
      <c r="C13" s="4" t="s">
        <v>32</v>
      </c>
      <c r="D13" s="4" t="s">
        <v>33</v>
      </c>
    </row>
    <row r="14" customFormat="false" ht="42" hidden="false" customHeight="true" outlineLevel="0" collapsed="false">
      <c r="A14" s="4" t="s">
        <v>34</v>
      </c>
      <c r="B14" s="4" t="s">
        <v>35</v>
      </c>
      <c r="C14" s="4" t="s">
        <v>36</v>
      </c>
      <c r="D14" s="4" t="s">
        <v>37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</row>
    <row r="2" customFormat="false" ht="15" hidden="false" customHeight="false" outlineLevel="0" collapsed="false">
      <c r="A2" s="5" t="s">
        <v>43</v>
      </c>
      <c r="B2" s="5"/>
      <c r="C2" s="5"/>
      <c r="D2" s="5"/>
      <c r="E2" s="5"/>
    </row>
    <row r="3" customFormat="false" ht="23.85" hidden="false" customHeight="false" outlineLevel="0" collapsed="false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</row>
    <row r="4" customFormat="false" ht="23.85" hidden="false" customHeight="false" outlineLevel="0" collapsed="false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</row>
    <row r="5" customFormat="false" ht="23.85" hidden="false" customHeight="false" outlineLevel="0" collapsed="false">
      <c r="A5" s="6" t="s">
        <v>54</v>
      </c>
      <c r="B5" s="6" t="s">
        <v>55</v>
      </c>
      <c r="C5" s="6" t="s">
        <v>56</v>
      </c>
      <c r="D5" s="6" t="s">
        <v>52</v>
      </c>
      <c r="E5" s="6" t="s">
        <v>57</v>
      </c>
    </row>
    <row r="6" customFormat="false" ht="23.85" hidden="false" customHeight="false" outlineLevel="0" collapsed="false">
      <c r="A6" s="6" t="s">
        <v>58</v>
      </c>
      <c r="B6" s="6" t="s">
        <v>59</v>
      </c>
      <c r="C6" s="6" t="s">
        <v>60</v>
      </c>
      <c r="D6" s="6" t="s">
        <v>52</v>
      </c>
      <c r="E6" s="6" t="s">
        <v>61</v>
      </c>
    </row>
    <row r="7" customFormat="false" ht="23.85" hidden="false" customHeight="false" outlineLevel="0" collapsed="false">
      <c r="A7" s="6" t="s">
        <v>62</v>
      </c>
      <c r="B7" s="6" t="s">
        <v>63</v>
      </c>
      <c r="C7" s="6" t="s">
        <v>64</v>
      </c>
      <c r="D7" s="6" t="s">
        <v>65</v>
      </c>
      <c r="E7" s="6" t="s">
        <v>66</v>
      </c>
    </row>
    <row r="8" customFormat="false" ht="15" hidden="false" customHeight="false" outlineLevel="0" collapsed="false">
      <c r="A8" s="5" t="s">
        <v>67</v>
      </c>
      <c r="B8" s="5"/>
      <c r="C8" s="5"/>
      <c r="D8" s="5"/>
      <c r="E8" s="5"/>
    </row>
    <row r="9" customFormat="false" ht="23.85" hidden="false" customHeight="false" outlineLevel="0" collapsed="false">
      <c r="A9" s="6" t="s">
        <v>68</v>
      </c>
      <c r="B9" s="6" t="s">
        <v>69</v>
      </c>
      <c r="C9" s="6" t="s">
        <v>70</v>
      </c>
      <c r="D9" s="6" t="s">
        <v>52</v>
      </c>
      <c r="E9" s="6" t="s">
        <v>71</v>
      </c>
    </row>
    <row r="10" customFormat="false" ht="15" hidden="false" customHeight="false" outlineLevel="0" collapsed="false">
      <c r="A10" s="6" t="s">
        <v>72</v>
      </c>
      <c r="B10" s="6" t="s">
        <v>73</v>
      </c>
      <c r="C10" s="6" t="s">
        <v>74</v>
      </c>
      <c r="D10" s="6" t="s">
        <v>75</v>
      </c>
      <c r="E10" s="6" t="s">
        <v>76</v>
      </c>
    </row>
    <row r="11" customFormat="false" ht="23.85" hidden="false" customHeight="false" outlineLevel="0" collapsed="false">
      <c r="A11" s="6" t="s">
        <v>77</v>
      </c>
      <c r="B11" s="6" t="s">
        <v>78</v>
      </c>
      <c r="C11" s="6" t="s">
        <v>79</v>
      </c>
      <c r="D11" s="6" t="s">
        <v>52</v>
      </c>
      <c r="E11" s="6" t="s">
        <v>61</v>
      </c>
    </row>
    <row r="12" customFormat="false" ht="23.85" hidden="false" customHeight="false" outlineLevel="0" collapsed="false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</row>
    <row r="13" customFormat="false" ht="23.85" hidden="false" customHeight="false" outlineLevel="0" collapsed="false">
      <c r="A13" s="6" t="s">
        <v>85</v>
      </c>
      <c r="B13" s="6" t="s">
        <v>86</v>
      </c>
      <c r="C13" s="6" t="s">
        <v>87</v>
      </c>
      <c r="D13" s="6" t="s">
        <v>52</v>
      </c>
      <c r="E13" s="6" t="s">
        <v>88</v>
      </c>
    </row>
    <row r="14" customFormat="false" ht="23.85" hidden="false" customHeight="false" outlineLevel="0" collapsed="false">
      <c r="A14" s="4" t="s">
        <v>89</v>
      </c>
      <c r="B14" s="4" t="s">
        <v>90</v>
      </c>
      <c r="C14" s="4" t="s">
        <v>91</v>
      </c>
      <c r="D14" s="4" t="s">
        <v>52</v>
      </c>
      <c r="E14" s="4" t="s">
        <v>92</v>
      </c>
    </row>
    <row r="15" customFormat="false" ht="15" hidden="false" customHeight="false" outlineLevel="0" collapsed="false">
      <c r="A15" s="5" t="s">
        <v>93</v>
      </c>
      <c r="B15" s="5"/>
      <c r="C15" s="5"/>
      <c r="D15" s="5"/>
      <c r="E15" s="5"/>
    </row>
    <row r="16" customFormat="false" ht="23.85" hidden="false" customHeight="false" outlineLevel="0" collapsed="false">
      <c r="A16" s="6" t="s">
        <v>94</v>
      </c>
      <c r="B16" s="6" t="s">
        <v>95</v>
      </c>
      <c r="C16" s="6" t="s">
        <v>96</v>
      </c>
      <c r="D16" s="6"/>
      <c r="E16" s="6" t="s">
        <v>97</v>
      </c>
    </row>
    <row r="17" customFormat="false" ht="23.85" hidden="false" customHeight="false" outlineLevel="0" collapsed="false">
      <c r="A17" s="6" t="s">
        <v>98</v>
      </c>
      <c r="B17" s="6" t="s">
        <v>99</v>
      </c>
      <c r="C17" s="6" t="s">
        <v>79</v>
      </c>
      <c r="D17" s="6"/>
      <c r="E17" s="6" t="s">
        <v>100</v>
      </c>
    </row>
    <row r="18" customFormat="false" ht="23.85" hidden="false" customHeight="false" outlineLevel="0" collapsed="false">
      <c r="A18" s="6" t="s">
        <v>101</v>
      </c>
      <c r="B18" s="6" t="s">
        <v>102</v>
      </c>
      <c r="C18" s="6" t="s">
        <v>46</v>
      </c>
      <c r="D18" s="6"/>
      <c r="E18" s="6" t="s">
        <v>103</v>
      </c>
    </row>
    <row r="19" customFormat="false" ht="35.05" hidden="false" customHeight="false" outlineLevel="0" collapsed="false">
      <c r="A19" s="6" t="s">
        <v>104</v>
      </c>
      <c r="B19" s="6" t="s">
        <v>105</v>
      </c>
      <c r="C19" s="6" t="s">
        <v>106</v>
      </c>
      <c r="D19" s="6"/>
      <c r="E19" s="6" t="s">
        <v>107</v>
      </c>
    </row>
    <row r="20" customFormat="false" ht="15" hidden="false" customHeight="false" outlineLevel="0" collapsed="false">
      <c r="A20" s="5" t="s">
        <v>108</v>
      </c>
      <c r="B20" s="5"/>
      <c r="C20" s="5"/>
      <c r="D20" s="5"/>
      <c r="E20" s="5"/>
    </row>
    <row r="21" customFormat="false" ht="15" hidden="false" customHeight="false" outlineLevel="0" collapsed="false">
      <c r="A21" s="6" t="s">
        <v>109</v>
      </c>
      <c r="B21" s="6"/>
      <c r="C21" s="6"/>
      <c r="D21" s="6"/>
      <c r="E21" s="6" t="s">
        <v>110</v>
      </c>
    </row>
    <row r="22" customFormat="false" ht="15" hidden="false" customHeight="false" outlineLevel="0" collapsed="false">
      <c r="A22" s="6" t="s">
        <v>111</v>
      </c>
      <c r="B22" s="6"/>
      <c r="C22" s="6"/>
      <c r="D22" s="6"/>
      <c r="E22" s="6" t="s">
        <v>112</v>
      </c>
    </row>
    <row r="23" customFormat="false" ht="15" hidden="false" customHeight="false" outlineLevel="0" collapsed="false">
      <c r="A23" s="6" t="s">
        <v>113</v>
      </c>
      <c r="B23" s="6"/>
      <c r="C23" s="6"/>
      <c r="D23" s="6"/>
      <c r="E23" s="6" t="s">
        <v>114</v>
      </c>
    </row>
    <row r="24" customFormat="false" ht="15" hidden="false" customHeight="false" outlineLevel="0" collapsed="false">
      <c r="A24" s="6" t="s">
        <v>115</v>
      </c>
      <c r="B24" s="6"/>
      <c r="C24" s="6"/>
      <c r="D24" s="6"/>
      <c r="E24" s="6" t="s">
        <v>116</v>
      </c>
    </row>
    <row r="25" customFormat="false" ht="15" hidden="false" customHeight="false" outlineLevel="0" collapsed="false">
      <c r="A25" s="6" t="s">
        <v>117</v>
      </c>
      <c r="B25" s="6"/>
      <c r="C25" s="6"/>
      <c r="D25" s="6"/>
      <c r="E25" s="6" t="s">
        <v>118</v>
      </c>
    </row>
    <row r="26" customFormat="false" ht="15" hidden="false" customHeight="false" outlineLevel="0" collapsed="false">
      <c r="A26" s="6" t="s">
        <v>119</v>
      </c>
      <c r="B26" s="6"/>
      <c r="C26" s="6"/>
      <c r="D26" s="6"/>
      <c r="E26" s="6" t="s">
        <v>120</v>
      </c>
    </row>
    <row r="27" customFormat="false" ht="15" hidden="false" customHeight="false" outlineLevel="0" collapsed="false">
      <c r="A27" s="6" t="s">
        <v>121</v>
      </c>
      <c r="B27" s="6"/>
      <c r="C27" s="6"/>
      <c r="D27" s="6"/>
      <c r="E27" s="6" t="s">
        <v>114</v>
      </c>
    </row>
    <row r="28" customFormat="false" ht="15" hidden="false" customHeight="false" outlineLevel="0" collapsed="false">
      <c r="A28" s="6" t="s">
        <v>122</v>
      </c>
      <c r="B28" s="6"/>
      <c r="C28" s="6"/>
      <c r="D28" s="6"/>
      <c r="E28" s="6" t="s">
        <v>123</v>
      </c>
    </row>
    <row r="29" customFormat="false" ht="15" hidden="false" customHeight="false" outlineLevel="0" collapsed="false">
      <c r="A29" s="6" t="s">
        <v>124</v>
      </c>
      <c r="B29" s="6"/>
      <c r="C29" s="6"/>
      <c r="D29" s="6"/>
      <c r="E29" s="6" t="s">
        <v>125</v>
      </c>
    </row>
    <row r="30" customFormat="false" ht="15" hidden="false" customHeight="false" outlineLevel="0" collapsed="false">
      <c r="A30" s="6" t="s">
        <v>126</v>
      </c>
      <c r="B30" s="6"/>
      <c r="C30" s="6"/>
      <c r="D30" s="6"/>
      <c r="E30" s="6" t="s">
        <v>127</v>
      </c>
    </row>
    <row r="31" customFormat="false" ht="15" hidden="false" customHeight="false" outlineLevel="0" collapsed="false">
      <c r="A31" s="5" t="s">
        <v>128</v>
      </c>
      <c r="B31" s="5"/>
      <c r="C31" s="5"/>
      <c r="D31" s="5"/>
      <c r="E31" s="5"/>
    </row>
    <row r="32" customFormat="false" ht="15" hidden="false" customHeight="false" outlineLevel="0" collapsed="false">
      <c r="A32" s="6" t="s">
        <v>129</v>
      </c>
      <c r="B32" s="6"/>
      <c r="C32" s="6"/>
      <c r="D32" s="6"/>
      <c r="E32" s="6" t="s">
        <v>123</v>
      </c>
    </row>
    <row r="33" customFormat="false" ht="15" hidden="false" customHeight="false" outlineLevel="0" collapsed="false">
      <c r="A33" s="6" t="s">
        <v>130</v>
      </c>
      <c r="B33" s="6"/>
      <c r="C33" s="6"/>
      <c r="D33" s="6"/>
      <c r="E33" s="6" t="s">
        <v>127</v>
      </c>
    </row>
    <row r="34" customFormat="false" ht="15" hidden="false" customHeight="false" outlineLevel="0" collapsed="false">
      <c r="A34" s="6" t="s">
        <v>131</v>
      </c>
      <c r="B34" s="6"/>
      <c r="C34" s="6"/>
      <c r="D34" s="6"/>
      <c r="E34" s="6" t="s">
        <v>118</v>
      </c>
    </row>
    <row r="35" customFormat="false" ht="15" hidden="false" customHeight="false" outlineLevel="0" collapsed="false">
      <c r="A35" s="6" t="s">
        <v>132</v>
      </c>
      <c r="B35" s="6"/>
      <c r="C35" s="6"/>
      <c r="D35" s="6"/>
      <c r="E35" s="6" t="s">
        <v>133</v>
      </c>
    </row>
    <row r="36" customFormat="false" ht="15" hidden="false" customHeight="false" outlineLevel="0" collapsed="false">
      <c r="A36" s="6" t="s">
        <v>134</v>
      </c>
      <c r="B36" s="6"/>
      <c r="C36" s="6"/>
      <c r="D36" s="6"/>
      <c r="E36" s="6" t="s">
        <v>110</v>
      </c>
    </row>
    <row r="37" customFormat="false" ht="15" hidden="false" customHeight="false" outlineLevel="0" collapsed="false">
      <c r="A37" s="6" t="s">
        <v>135</v>
      </c>
      <c r="B37" s="6"/>
      <c r="C37" s="6"/>
      <c r="D37" s="6"/>
      <c r="E37" s="6" t="s">
        <v>125</v>
      </c>
    </row>
    <row r="38" customFormat="false" ht="15" hidden="false" customHeight="false" outlineLevel="0" collapsed="false">
      <c r="A38" s="6" t="s">
        <v>136</v>
      </c>
      <c r="B38" s="6"/>
      <c r="C38" s="6"/>
      <c r="D38" s="6"/>
      <c r="E38" s="6" t="s">
        <v>137</v>
      </c>
    </row>
    <row r="39" customFormat="false" ht="15" hidden="false" customHeight="false" outlineLevel="0" collapsed="false">
      <c r="A39" s="6" t="s">
        <v>138</v>
      </c>
      <c r="B39" s="6"/>
      <c r="C39" s="6"/>
      <c r="D39" s="6"/>
      <c r="E39" s="6" t="s">
        <v>139</v>
      </c>
    </row>
    <row r="40" customFormat="false" ht="15" hidden="false" customHeight="false" outlineLevel="0" collapsed="false">
      <c r="A40" s="6" t="s">
        <v>140</v>
      </c>
      <c r="B40" s="6"/>
      <c r="C40" s="6"/>
      <c r="D40" s="6"/>
      <c r="E40" s="6" t="s">
        <v>141</v>
      </c>
    </row>
    <row r="41" customFormat="false" ht="15" hidden="false" customHeight="false" outlineLevel="0" collapsed="false">
      <c r="A41" s="6" t="s">
        <v>142</v>
      </c>
      <c r="B41" s="6"/>
      <c r="C41" s="6"/>
      <c r="D41" s="6"/>
      <c r="E41" s="6" t="s">
        <v>125</v>
      </c>
    </row>
    <row r="42" customFormat="false" ht="15" hidden="false" customHeight="false" outlineLevel="0" collapsed="false">
      <c r="A42" s="6" t="s">
        <v>143</v>
      </c>
      <c r="B42" s="6" t="s">
        <v>144</v>
      </c>
      <c r="C42" s="6"/>
      <c r="D42" s="6"/>
      <c r="E42" s="6" t="s">
        <v>145</v>
      </c>
    </row>
    <row r="43" customFormat="false" ht="15" hidden="false" customHeight="false" outlineLevel="0" collapsed="false">
      <c r="A43" s="5" t="s">
        <v>146</v>
      </c>
      <c r="B43" s="5"/>
      <c r="C43" s="5"/>
      <c r="D43" s="5"/>
      <c r="E43" s="5"/>
    </row>
    <row r="44" customFormat="false" ht="15" hidden="false" customHeight="false" outlineLevel="0" collapsed="false">
      <c r="A44" s="6" t="s">
        <v>147</v>
      </c>
      <c r="B44" s="6" t="s">
        <v>148</v>
      </c>
      <c r="C44" s="6"/>
      <c r="D44" s="6"/>
      <c r="E44" s="6" t="s">
        <v>149</v>
      </c>
    </row>
    <row r="45" customFormat="false" ht="15" hidden="false" customHeight="false" outlineLevel="0" collapsed="false">
      <c r="A45" s="6" t="s">
        <v>150</v>
      </c>
      <c r="B45" s="6" t="s">
        <v>151</v>
      </c>
      <c r="C45" s="6"/>
      <c r="D45" s="6"/>
      <c r="E45" s="6" t="s">
        <v>152</v>
      </c>
    </row>
    <row r="46" customFormat="false" ht="15" hidden="false" customHeight="false" outlineLevel="0" collapsed="false">
      <c r="A46" s="6" t="s">
        <v>153</v>
      </c>
      <c r="B46" s="6" t="s">
        <v>154</v>
      </c>
      <c r="C46" s="6"/>
      <c r="D46" s="6"/>
      <c r="E46" s="6" t="s">
        <v>155</v>
      </c>
    </row>
    <row r="47" customFormat="false" ht="15" hidden="false" customHeight="false" outlineLevel="0" collapsed="false">
      <c r="A47" s="5" t="s">
        <v>156</v>
      </c>
      <c r="B47" s="5"/>
      <c r="C47" s="5"/>
      <c r="D47" s="5"/>
      <c r="E47" s="5"/>
    </row>
    <row r="48" customFormat="false" ht="15" hidden="false" customHeight="false" outlineLevel="0" collapsed="false">
      <c r="A48" s="6" t="s">
        <v>157</v>
      </c>
      <c r="B48" s="6" t="s">
        <v>158</v>
      </c>
      <c r="C48" s="6" t="s">
        <v>159</v>
      </c>
      <c r="D48" s="6"/>
      <c r="E48" s="6" t="s">
        <v>84</v>
      </c>
    </row>
    <row r="49" customFormat="false" ht="15" hidden="false" customHeight="false" outlineLevel="0" collapsed="false">
      <c r="A49" s="6" t="s">
        <v>160</v>
      </c>
      <c r="B49" s="6" t="s">
        <v>161</v>
      </c>
      <c r="C49" s="6" t="s">
        <v>159</v>
      </c>
      <c r="D49" s="6"/>
      <c r="E49" s="6" t="s">
        <v>84</v>
      </c>
    </row>
    <row r="50" customFormat="false" ht="15" hidden="false" customHeight="false" outlineLevel="0" collapsed="false">
      <c r="A50" s="6" t="s">
        <v>162</v>
      </c>
      <c r="B50" s="6" t="s">
        <v>163</v>
      </c>
      <c r="C50" s="6" t="s">
        <v>159</v>
      </c>
      <c r="D50" s="6"/>
      <c r="E50" s="6" t="s">
        <v>84</v>
      </c>
    </row>
    <row r="51" customFormat="false" ht="23.85" hidden="false" customHeight="false" outlineLevel="0" collapsed="false">
      <c r="A51" s="6" t="s">
        <v>164</v>
      </c>
      <c r="B51" s="6" t="s">
        <v>165</v>
      </c>
      <c r="C51" s="6" t="s">
        <v>166</v>
      </c>
      <c r="D51" s="6"/>
      <c r="E51" s="6" t="s">
        <v>84</v>
      </c>
    </row>
    <row r="52" customFormat="false" ht="15" hidden="false" customHeight="false" outlineLevel="0" collapsed="false">
      <c r="A52" s="6" t="s">
        <v>167</v>
      </c>
      <c r="B52" s="6" t="s">
        <v>168</v>
      </c>
      <c r="C52" s="6" t="s">
        <v>169</v>
      </c>
      <c r="D52" s="6"/>
      <c r="E52" s="6" t="s">
        <v>170</v>
      </c>
    </row>
    <row r="53" customFormat="false" ht="23.85" hidden="false" customHeight="false" outlineLevel="0" collapsed="false">
      <c r="A53" s="6" t="s">
        <v>171</v>
      </c>
      <c r="B53" s="6" t="s">
        <v>172</v>
      </c>
      <c r="C53" s="6" t="s">
        <v>173</v>
      </c>
      <c r="D53" s="6"/>
      <c r="E53" s="6" t="s">
        <v>170</v>
      </c>
    </row>
    <row r="54" customFormat="false" ht="23.85" hidden="false" customHeight="false" outlineLevel="0" collapsed="false">
      <c r="A54" s="6" t="s">
        <v>174</v>
      </c>
      <c r="B54" s="6" t="s">
        <v>175</v>
      </c>
      <c r="C54" s="6" t="s">
        <v>176</v>
      </c>
      <c r="D54" s="6"/>
      <c r="E54" s="6" t="s">
        <v>177</v>
      </c>
    </row>
    <row r="55" customFormat="false" ht="15" hidden="false" customHeight="false" outlineLevel="0" collapsed="false">
      <c r="A55" s="5" t="s">
        <v>178</v>
      </c>
      <c r="B55" s="5"/>
      <c r="C55" s="5"/>
      <c r="D55" s="5"/>
      <c r="E55" s="5"/>
    </row>
    <row r="56" customFormat="false" ht="35.05" hidden="false" customHeight="false" outlineLevel="0" collapsed="false">
      <c r="A56" s="6" t="s">
        <v>179</v>
      </c>
      <c r="B56" s="6" t="s">
        <v>180</v>
      </c>
      <c r="C56" s="6" t="s">
        <v>181</v>
      </c>
      <c r="D56" s="6"/>
      <c r="E56" s="6" t="s">
        <v>182</v>
      </c>
    </row>
    <row r="57" customFormat="false" ht="15" hidden="false" customHeight="false" outlineLevel="0" collapsed="false">
      <c r="A57" s="5" t="s">
        <v>183</v>
      </c>
      <c r="B57" s="5"/>
      <c r="C57" s="5"/>
      <c r="D57" s="5"/>
      <c r="E57" s="5"/>
    </row>
    <row r="58" customFormat="false" ht="15" hidden="false" customHeight="false" outlineLevel="0" collapsed="false">
      <c r="A58" s="6" t="s">
        <v>184</v>
      </c>
      <c r="B58" s="6" t="s">
        <v>185</v>
      </c>
      <c r="C58" s="6" t="s">
        <v>186</v>
      </c>
      <c r="D58" s="6"/>
      <c r="E58" s="6" t="s">
        <v>187</v>
      </c>
    </row>
    <row r="59" customFormat="false" ht="15" hidden="false" customHeight="false" outlineLevel="0" collapsed="false">
      <c r="A59" s="6" t="s">
        <v>188</v>
      </c>
      <c r="B59" s="6" t="s">
        <v>189</v>
      </c>
      <c r="C59" s="6" t="s">
        <v>186</v>
      </c>
      <c r="D59" s="6"/>
      <c r="E59" s="6" t="s">
        <v>190</v>
      </c>
    </row>
    <row r="60" customFormat="false" ht="15" hidden="false" customHeight="false" outlineLevel="0" collapsed="false">
      <c r="A60" s="6" t="s">
        <v>47</v>
      </c>
      <c r="B60" s="6" t="s">
        <v>191</v>
      </c>
      <c r="C60" s="6" t="s">
        <v>186</v>
      </c>
      <c r="D60" s="6"/>
      <c r="E60" s="6" t="s">
        <v>192</v>
      </c>
    </row>
    <row r="61" customFormat="false" ht="15" hidden="false" customHeight="false" outlineLevel="0" collapsed="false">
      <c r="A61" s="5" t="s">
        <v>193</v>
      </c>
      <c r="B61" s="5"/>
      <c r="C61" s="5"/>
      <c r="D61" s="5"/>
      <c r="E61" s="5"/>
    </row>
    <row r="62" customFormat="false" ht="15" hidden="false" customHeight="false" outlineLevel="0" collapsed="false">
      <c r="A62" s="6" t="s">
        <v>194</v>
      </c>
      <c r="B62" s="6"/>
      <c r="C62" s="6"/>
      <c r="D62" s="6"/>
      <c r="E62" s="6" t="s">
        <v>118</v>
      </c>
    </row>
    <row r="63" customFormat="false" ht="15" hidden="false" customHeight="false" outlineLevel="0" collapsed="false">
      <c r="A63" s="4" t="s">
        <v>195</v>
      </c>
      <c r="B63" s="4"/>
      <c r="C63" s="4"/>
      <c r="D63" s="4"/>
      <c r="E63" s="4" t="s">
        <v>123</v>
      </c>
    </row>
    <row r="64" customFormat="false" ht="15" hidden="false" customHeight="false" outlineLevel="0" collapsed="false">
      <c r="A64" s="6" t="s">
        <v>196</v>
      </c>
      <c r="B64" s="6"/>
      <c r="C64" s="6"/>
      <c r="D64" s="6"/>
      <c r="E64" s="6" t="s">
        <v>141</v>
      </c>
    </row>
    <row r="65" customFormat="false" ht="15" hidden="false" customHeight="false" outlineLevel="0" collapsed="false">
      <c r="A65" s="6" t="s">
        <v>197</v>
      </c>
      <c r="B65" s="6"/>
      <c r="C65" s="6"/>
      <c r="D65" s="6"/>
      <c r="E65" s="6" t="s">
        <v>141</v>
      </c>
    </row>
    <row r="66" customFormat="false" ht="15" hidden="false" customHeight="false" outlineLevel="0" collapsed="false">
      <c r="A66" s="6" t="s">
        <v>198</v>
      </c>
      <c r="B66" s="6"/>
      <c r="C66" s="6"/>
      <c r="D66" s="6"/>
      <c r="E66" s="6" t="s">
        <v>145</v>
      </c>
    </row>
    <row r="67" customFormat="false" ht="15" hidden="false" customHeight="false" outlineLevel="0" collapsed="false">
      <c r="A67" s="6" t="s">
        <v>199</v>
      </c>
      <c r="B67" s="6"/>
      <c r="C67" s="6"/>
      <c r="D67" s="6"/>
      <c r="E67" s="6" t="s">
        <v>141</v>
      </c>
    </row>
    <row r="68" customFormat="false" ht="15" hidden="false" customHeight="false" outlineLevel="0" collapsed="false">
      <c r="A68" s="4" t="s">
        <v>200</v>
      </c>
      <c r="B68" s="4"/>
      <c r="C68" s="4"/>
      <c r="D68" s="4"/>
      <c r="E68" s="4" t="s">
        <v>201</v>
      </c>
    </row>
    <row r="69" customFormat="false" ht="15" hidden="false" customHeight="false" outlineLevel="0" collapsed="false">
      <c r="A69" s="5" t="s">
        <v>202</v>
      </c>
      <c r="B69" s="5"/>
      <c r="C69" s="5"/>
      <c r="D69" s="5"/>
      <c r="E69" s="5"/>
    </row>
    <row r="70" customFormat="false" ht="15" hidden="false" customHeight="false" outlineLevel="0" collapsed="false">
      <c r="A70" s="6" t="s">
        <v>124</v>
      </c>
      <c r="B70" s="6"/>
      <c r="C70" s="6"/>
      <c r="D70" s="6"/>
      <c r="E70" s="6" t="s">
        <v>125</v>
      </c>
    </row>
    <row r="71" customFormat="false" ht="15" hidden="false" customHeight="false" outlineLevel="0" collapsed="false">
      <c r="A71" s="6" t="s">
        <v>126</v>
      </c>
      <c r="B71" s="6"/>
      <c r="C71" s="6"/>
      <c r="D71" s="6"/>
      <c r="E71" s="6" t="s">
        <v>127</v>
      </c>
    </row>
    <row r="72" customFormat="false" ht="15" hidden="false" customHeight="false" outlineLevel="0" collapsed="false">
      <c r="A72" s="6" t="s">
        <v>203</v>
      </c>
      <c r="B72" s="6"/>
      <c r="C72" s="6"/>
      <c r="D72" s="6"/>
      <c r="E72" s="6" t="s">
        <v>125</v>
      </c>
    </row>
    <row r="73" customFormat="false" ht="15" hidden="false" customHeight="false" outlineLevel="0" collapsed="false">
      <c r="A73" s="6" t="s">
        <v>204</v>
      </c>
      <c r="B73" s="6"/>
      <c r="C73" s="6"/>
      <c r="D73" s="6"/>
      <c r="E73" s="6" t="s">
        <v>141</v>
      </c>
    </row>
    <row r="74" customFormat="false" ht="15" hidden="false" customHeight="false" outlineLevel="0" collapsed="false">
      <c r="A74" s="5" t="s">
        <v>205</v>
      </c>
      <c r="B74" s="5"/>
      <c r="C74" s="5"/>
      <c r="D74" s="5"/>
      <c r="E74" s="5"/>
    </row>
    <row r="75" customFormat="false" ht="15" hidden="false" customHeight="false" outlineLevel="0" collapsed="false">
      <c r="A75" s="6" t="s">
        <v>206</v>
      </c>
      <c r="B75" s="6"/>
      <c r="C75" s="6" t="s">
        <v>56</v>
      </c>
      <c r="D75" s="6"/>
      <c r="E75" s="6" t="s">
        <v>127</v>
      </c>
    </row>
    <row r="76" customFormat="false" ht="15" hidden="false" customHeight="false" outlineLevel="0" collapsed="false">
      <c r="A76" s="6" t="s">
        <v>207</v>
      </c>
      <c r="B76" s="6"/>
      <c r="C76" s="6" t="s">
        <v>56</v>
      </c>
      <c r="D76" s="6"/>
      <c r="E76" s="6" t="s">
        <v>208</v>
      </c>
    </row>
    <row r="77" customFormat="false" ht="15" hidden="false" customHeight="false" outlineLevel="0" collapsed="false">
      <c r="A77" s="6" t="s">
        <v>209</v>
      </c>
      <c r="B77" s="6"/>
      <c r="C77" s="6" t="s">
        <v>56</v>
      </c>
      <c r="D77" s="6"/>
      <c r="E77" s="6" t="s">
        <v>127</v>
      </c>
    </row>
    <row r="78" customFormat="false" ht="15" hidden="false" customHeight="false" outlineLevel="0" collapsed="false">
      <c r="A78" s="6" t="s">
        <v>210</v>
      </c>
      <c r="B78" s="6"/>
      <c r="C78" s="6" t="s">
        <v>56</v>
      </c>
      <c r="D78" s="6"/>
      <c r="E78" s="6" t="s">
        <v>208</v>
      </c>
    </row>
    <row r="79" customFormat="false" ht="15" hidden="false" customHeight="false" outlineLevel="0" collapsed="false">
      <c r="A79" s="6" t="s">
        <v>211</v>
      </c>
      <c r="B79" s="6"/>
      <c r="C79" s="6" t="s">
        <v>56</v>
      </c>
      <c r="D79" s="6"/>
      <c r="E79" s="6" t="s">
        <v>137</v>
      </c>
    </row>
    <row r="80" customFormat="false" ht="15" hidden="false" customHeight="false" outlineLevel="0" collapsed="false">
      <c r="A80" s="6" t="s">
        <v>212</v>
      </c>
      <c r="B80" s="6"/>
      <c r="C80" s="6" t="s">
        <v>56</v>
      </c>
      <c r="D80" s="6"/>
      <c r="E80" s="6" t="s">
        <v>213</v>
      </c>
    </row>
    <row r="81" customFormat="false" ht="15" hidden="false" customHeight="false" outlineLevel="0" collapsed="false">
      <c r="A81" s="6" t="s">
        <v>214</v>
      </c>
      <c r="B81" s="6"/>
      <c r="C81" s="6" t="s">
        <v>56</v>
      </c>
      <c r="D81" s="6"/>
      <c r="E81" s="6" t="s">
        <v>137</v>
      </c>
    </row>
    <row r="82" customFormat="false" ht="15" hidden="false" customHeight="false" outlineLevel="0" collapsed="false">
      <c r="A82" s="6" t="s">
        <v>215</v>
      </c>
      <c r="B82" s="6"/>
      <c r="C82" s="6" t="s">
        <v>56</v>
      </c>
      <c r="D82" s="6"/>
      <c r="E82" s="6" t="s">
        <v>213</v>
      </c>
    </row>
    <row r="83" customFormat="false" ht="15" hidden="false" customHeight="false" outlineLevel="0" collapsed="false">
      <c r="A83" s="6" t="s">
        <v>216</v>
      </c>
      <c r="B83" s="6"/>
      <c r="C83" s="6" t="s">
        <v>56</v>
      </c>
      <c r="D83" s="6"/>
      <c r="E83" s="6" t="s">
        <v>217</v>
      </c>
    </row>
    <row r="84" customFormat="false" ht="15" hidden="false" customHeight="false" outlineLevel="0" collapsed="false">
      <c r="A84" s="6" t="s">
        <v>218</v>
      </c>
      <c r="B84" s="6"/>
      <c r="C84" s="6" t="s">
        <v>56</v>
      </c>
      <c r="D84" s="6"/>
      <c r="E84" s="6" t="s">
        <v>219</v>
      </c>
    </row>
    <row r="85" customFormat="false" ht="15" hidden="false" customHeight="false" outlineLevel="0" collapsed="false">
      <c r="A85" s="5" t="s">
        <v>220</v>
      </c>
      <c r="B85" s="5"/>
      <c r="C85" s="5"/>
      <c r="D85" s="5"/>
      <c r="E85" s="5"/>
    </row>
    <row r="86" customFormat="false" ht="15" hidden="false" customHeight="false" outlineLevel="0" collapsed="false">
      <c r="A86" s="6" t="s">
        <v>221</v>
      </c>
      <c r="B86" s="6"/>
      <c r="C86" s="6"/>
      <c r="D86" s="6"/>
      <c r="E86" s="6" t="s">
        <v>222</v>
      </c>
    </row>
    <row r="87" customFormat="false" ht="15" hidden="false" customHeight="false" outlineLevel="0" collapsed="false">
      <c r="A87" s="6" t="s">
        <v>223</v>
      </c>
      <c r="B87" s="6"/>
      <c r="C87" s="6"/>
      <c r="D87" s="6"/>
      <c r="E87" s="6" t="s">
        <v>224</v>
      </c>
    </row>
    <row r="88" customFormat="false" ht="15" hidden="false" customHeight="false" outlineLevel="0" collapsed="false">
      <c r="A88" s="6" t="s">
        <v>225</v>
      </c>
      <c r="B88" s="6"/>
      <c r="C88" s="6"/>
      <c r="D88" s="6"/>
      <c r="E88" s="6" t="s">
        <v>226</v>
      </c>
    </row>
    <row r="89" customFormat="false" ht="15" hidden="false" customHeight="false" outlineLevel="0" collapsed="false">
      <c r="A89" s="6" t="s">
        <v>227</v>
      </c>
      <c r="B89" s="6"/>
      <c r="C89" s="6"/>
      <c r="D89" s="6"/>
      <c r="E89" s="6" t="s">
        <v>228</v>
      </c>
    </row>
    <row r="90" customFormat="false" ht="15" hidden="false" customHeight="false" outlineLevel="0" collapsed="false">
      <c r="A90" s="6" t="s">
        <v>229</v>
      </c>
      <c r="B90" s="6"/>
      <c r="C90" s="6"/>
      <c r="D90" s="6"/>
      <c r="E90" s="6" t="s">
        <v>230</v>
      </c>
    </row>
    <row r="91" customFormat="false" ht="15" hidden="false" customHeight="false" outlineLevel="0" collapsed="false">
      <c r="A91" s="6" t="s">
        <v>231</v>
      </c>
      <c r="B91" s="6"/>
      <c r="C91" s="6"/>
      <c r="D91" s="6"/>
      <c r="E91" s="6" t="s">
        <v>228</v>
      </c>
    </row>
    <row r="92" customFormat="false" ht="15" hidden="false" customHeight="false" outlineLevel="0" collapsed="false">
      <c r="A92" s="6" t="s">
        <v>232</v>
      </c>
      <c r="B92" s="6"/>
      <c r="C92" s="6"/>
      <c r="D92" s="6"/>
      <c r="E92" s="6" t="s">
        <v>217</v>
      </c>
    </row>
    <row r="93" customFormat="false" ht="15" hidden="false" customHeight="false" outlineLevel="0" collapsed="false">
      <c r="A93" s="6" t="s">
        <v>233</v>
      </c>
      <c r="B93" s="6"/>
      <c r="C93" s="6"/>
      <c r="D93" s="6"/>
      <c r="E93" s="6" t="s">
        <v>228</v>
      </c>
    </row>
    <row r="94" customFormat="false" ht="15" hidden="false" customHeight="false" outlineLevel="0" collapsed="false">
      <c r="A94" s="5" t="s">
        <v>234</v>
      </c>
      <c r="B94" s="5"/>
      <c r="C94" s="5"/>
      <c r="D94" s="5"/>
      <c r="E94" s="5"/>
    </row>
    <row r="95" customFormat="false" ht="15" hidden="false" customHeight="false" outlineLevel="0" collapsed="false">
      <c r="A95" s="6" t="s">
        <v>235</v>
      </c>
      <c r="B95" s="6"/>
      <c r="C95" s="6"/>
      <c r="D95" s="6"/>
      <c r="E95" s="6" t="s">
        <v>127</v>
      </c>
    </row>
    <row r="96" customFormat="false" ht="15" hidden="false" customHeight="false" outlineLevel="0" collapsed="false">
      <c r="A96" s="6" t="s">
        <v>236</v>
      </c>
      <c r="B96" s="6"/>
      <c r="C96" s="6"/>
      <c r="D96" s="6"/>
      <c r="E96" s="6" t="s">
        <v>127</v>
      </c>
    </row>
    <row r="97" customFormat="false" ht="15" hidden="false" customHeight="false" outlineLevel="0" collapsed="false">
      <c r="A97" s="6" t="s">
        <v>237</v>
      </c>
      <c r="B97" s="6"/>
      <c r="C97" s="6"/>
      <c r="D97" s="6"/>
      <c r="E97" s="6" t="s">
        <v>139</v>
      </c>
    </row>
    <row r="98" customFormat="false" ht="15" hidden="false" customHeight="false" outlineLevel="0" collapsed="false">
      <c r="A98" s="6" t="s">
        <v>20</v>
      </c>
      <c r="B98" s="6"/>
      <c r="C98" s="6"/>
      <c r="D98" s="6"/>
      <c r="E98" s="6" t="s">
        <v>217</v>
      </c>
    </row>
    <row r="99" customFormat="false" ht="15" hidden="false" customHeight="false" outlineLevel="0" collapsed="false">
      <c r="A99" s="6" t="s">
        <v>24</v>
      </c>
      <c r="B99" s="6"/>
      <c r="C99" s="6" t="s">
        <v>70</v>
      </c>
      <c r="D99" s="6"/>
      <c r="E99" s="6" t="s">
        <v>217</v>
      </c>
    </row>
    <row r="100" customFormat="false" ht="15" hidden="false" customHeight="false" outlineLevel="0" collapsed="false">
      <c r="A100" s="6" t="s">
        <v>26</v>
      </c>
      <c r="B100" s="6"/>
      <c r="C100" s="6"/>
      <c r="D100" s="6"/>
      <c r="E100" s="6" t="s">
        <v>139</v>
      </c>
    </row>
    <row r="101" customFormat="false" ht="15" hidden="false" customHeight="false" outlineLevel="0" collapsed="false">
      <c r="A101" s="6" t="s">
        <v>27</v>
      </c>
      <c r="B101" s="6"/>
      <c r="C101" s="6"/>
      <c r="D101" s="6"/>
      <c r="E101" s="6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7" t="s">
        <v>238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2" t="s">
        <v>239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38</v>
      </c>
      <c r="B4" s="3" t="s">
        <v>240</v>
      </c>
      <c r="C4" s="3" t="s">
        <v>40</v>
      </c>
      <c r="D4" s="3" t="s">
        <v>241</v>
      </c>
      <c r="E4" s="3" t="s">
        <v>242</v>
      </c>
      <c r="F4" s="3" t="s">
        <v>243</v>
      </c>
      <c r="G4" s="3" t="s">
        <v>244</v>
      </c>
    </row>
    <row r="5" customFormat="false" ht="15" hidden="false" customHeight="false" outlineLevel="0" collapsed="false">
      <c r="A5" s="5" t="s">
        <v>43</v>
      </c>
      <c r="B5" s="5"/>
      <c r="C5" s="5"/>
      <c r="D5" s="5"/>
      <c r="E5" s="5"/>
      <c r="F5" s="5"/>
      <c r="G5" s="5"/>
    </row>
    <row r="6" customFormat="false" ht="35.05" hidden="false" customHeight="false" outlineLevel="0" collapsed="false">
      <c r="A6" s="8" t="s">
        <v>44</v>
      </c>
      <c r="B6" s="8" t="s">
        <v>245</v>
      </c>
      <c r="C6" s="8" t="s">
        <v>46</v>
      </c>
      <c r="D6" s="9" t="s">
        <v>246</v>
      </c>
      <c r="E6" s="10" t="n">
        <v>17.9</v>
      </c>
      <c r="F6" s="10" t="n">
        <f aca="false">ROUND(E6*1.15,1)</f>
        <v>20.6</v>
      </c>
      <c r="G6" s="8" t="s">
        <v>247</v>
      </c>
    </row>
    <row r="7" customFormat="false" ht="15" hidden="false" customHeight="false" outlineLevel="0" collapsed="false">
      <c r="A7" s="6" t="s">
        <v>49</v>
      </c>
      <c r="B7" s="6" t="s">
        <v>50</v>
      </c>
      <c r="C7" s="6" t="s">
        <v>51</v>
      </c>
      <c r="D7" s="11" t="s">
        <v>248</v>
      </c>
      <c r="E7" s="12" t="n">
        <v>8.9</v>
      </c>
      <c r="F7" s="12" t="n">
        <f aca="false">ROUND(E7*1.15,1)</f>
        <v>10.2</v>
      </c>
      <c r="G7" s="6" t="s">
        <v>249</v>
      </c>
    </row>
    <row r="8" customFormat="false" ht="15" hidden="false" customHeight="false" outlineLevel="0" collapsed="false">
      <c r="A8" s="6" t="s">
        <v>54</v>
      </c>
      <c r="B8" s="6" t="s">
        <v>55</v>
      </c>
      <c r="C8" s="6" t="s">
        <v>56</v>
      </c>
      <c r="D8" s="11" t="s">
        <v>248</v>
      </c>
      <c r="E8" s="12" t="n">
        <v>11.9</v>
      </c>
      <c r="F8" s="12" t="n">
        <f aca="false">ROUND(E8*1.15,1)</f>
        <v>13.7</v>
      </c>
      <c r="G8" s="6" t="s">
        <v>250</v>
      </c>
    </row>
    <row r="9" customFormat="false" ht="23.85" hidden="false" customHeight="false" outlineLevel="0" collapsed="false">
      <c r="A9" s="6" t="s">
        <v>58</v>
      </c>
      <c r="B9" s="6" t="s">
        <v>59</v>
      </c>
      <c r="C9" s="6" t="s">
        <v>60</v>
      </c>
      <c r="D9" s="11" t="s">
        <v>248</v>
      </c>
      <c r="E9" s="12" t="n">
        <v>6.9</v>
      </c>
      <c r="F9" s="12" t="n">
        <f aca="false">ROUND(E9*1.15,1)</f>
        <v>7.9</v>
      </c>
      <c r="G9" s="6" t="s">
        <v>249</v>
      </c>
    </row>
    <row r="10" customFormat="false" ht="23.85" hidden="false" customHeight="false" outlineLevel="0" collapsed="false">
      <c r="A10" s="6" t="s">
        <v>62</v>
      </c>
      <c r="B10" s="6" t="s">
        <v>63</v>
      </c>
      <c r="C10" s="6" t="s">
        <v>64</v>
      </c>
      <c r="D10" s="11" t="s">
        <v>248</v>
      </c>
      <c r="E10" s="12" t="n">
        <v>14.9</v>
      </c>
      <c r="F10" s="12" t="n">
        <f aca="false">ROUND(E10*1.15,1)</f>
        <v>17.1</v>
      </c>
      <c r="G10" s="6"/>
    </row>
    <row r="11" customFormat="false" ht="15" hidden="false" customHeight="false" outlineLevel="0" collapsed="false">
      <c r="A11" s="5" t="s">
        <v>67</v>
      </c>
      <c r="B11" s="5"/>
      <c r="C11" s="5"/>
      <c r="D11" s="5"/>
      <c r="E11" s="5"/>
      <c r="F11" s="5"/>
      <c r="G11" s="5"/>
    </row>
    <row r="12" customFormat="false" ht="23.85" hidden="false" customHeight="false" outlineLevel="0" collapsed="false">
      <c r="A12" s="6" t="s">
        <v>68</v>
      </c>
      <c r="B12" s="6" t="s">
        <v>69</v>
      </c>
      <c r="C12" s="6" t="s">
        <v>70</v>
      </c>
      <c r="D12" s="11" t="s">
        <v>248</v>
      </c>
      <c r="E12" s="12" t="n">
        <v>9.9</v>
      </c>
      <c r="F12" s="12" t="n">
        <f aca="false">ROUND(E12*1.15,1)</f>
        <v>11.4</v>
      </c>
      <c r="G12" s="6" t="s">
        <v>251</v>
      </c>
    </row>
    <row r="13" customFormat="false" ht="15" hidden="false" customHeight="false" outlineLevel="0" collapsed="false">
      <c r="A13" s="6" t="s">
        <v>72</v>
      </c>
      <c r="B13" s="6" t="s">
        <v>73</v>
      </c>
      <c r="C13" s="6" t="s">
        <v>74</v>
      </c>
      <c r="D13" s="11" t="s">
        <v>248</v>
      </c>
      <c r="E13" s="12" t="n">
        <v>5.9</v>
      </c>
      <c r="F13" s="12" t="n">
        <f aca="false">ROUND(E13*1.15,1)</f>
        <v>6.8</v>
      </c>
      <c r="G13" s="6" t="s">
        <v>249</v>
      </c>
    </row>
    <row r="14" customFormat="false" ht="23.85" hidden="false" customHeight="false" outlineLevel="0" collapsed="false">
      <c r="A14" s="6" t="s">
        <v>77</v>
      </c>
      <c r="B14" s="6" t="s">
        <v>78</v>
      </c>
      <c r="C14" s="6" t="s">
        <v>79</v>
      </c>
      <c r="D14" s="11" t="s">
        <v>248</v>
      </c>
      <c r="E14" s="12" t="n">
        <v>6.9</v>
      </c>
      <c r="F14" s="12" t="n">
        <f aca="false">ROUND(E14*1.15,1)</f>
        <v>7.9</v>
      </c>
      <c r="G14" s="6" t="s">
        <v>249</v>
      </c>
    </row>
    <row r="15" customFormat="false" ht="23.85" hidden="false" customHeight="false" outlineLevel="0" collapsed="false">
      <c r="A15" s="6" t="s">
        <v>80</v>
      </c>
      <c r="B15" s="6" t="s">
        <v>81</v>
      </c>
      <c r="C15" s="6" t="s">
        <v>82</v>
      </c>
      <c r="D15" s="11" t="s">
        <v>248</v>
      </c>
      <c r="E15" s="12" t="n">
        <v>12.9</v>
      </c>
      <c r="F15" s="12" t="n">
        <f aca="false">ROUND(E15*1.15,1)</f>
        <v>14.8</v>
      </c>
      <c r="G15" s="6" t="s">
        <v>252</v>
      </c>
    </row>
    <row r="16" customFormat="false" ht="23.85" hidden="false" customHeight="false" outlineLevel="0" collapsed="false">
      <c r="A16" s="6" t="s">
        <v>85</v>
      </c>
      <c r="B16" s="6" t="s">
        <v>86</v>
      </c>
      <c r="C16" s="6" t="s">
        <v>87</v>
      </c>
      <c r="D16" s="11" t="s">
        <v>248</v>
      </c>
      <c r="E16" s="12" t="n">
        <v>7.9</v>
      </c>
      <c r="F16" s="12" t="n">
        <f aca="false">ROUND(E16*1.15,1)</f>
        <v>9.1</v>
      </c>
      <c r="G16" s="6" t="s">
        <v>249</v>
      </c>
    </row>
    <row r="17" customFormat="false" ht="23.85" hidden="false" customHeight="false" outlineLevel="0" collapsed="false">
      <c r="A17" s="6" t="s">
        <v>89</v>
      </c>
      <c r="B17" s="6" t="s">
        <v>90</v>
      </c>
      <c r="C17" s="6" t="s">
        <v>91</v>
      </c>
      <c r="D17" s="11" t="s">
        <v>248</v>
      </c>
      <c r="E17" s="12" t="n">
        <v>7.5</v>
      </c>
      <c r="F17" s="12" t="n">
        <f aca="false">ROUND(E17*1.15,1)</f>
        <v>8.6</v>
      </c>
      <c r="G17" s="6" t="s">
        <v>253</v>
      </c>
    </row>
    <row r="18" customFormat="false" ht="15" hidden="false" customHeight="false" outlineLevel="0" collapsed="false">
      <c r="A18" s="5" t="s">
        <v>93</v>
      </c>
      <c r="B18" s="5"/>
      <c r="C18" s="5"/>
      <c r="D18" s="5"/>
      <c r="E18" s="5"/>
      <c r="F18" s="5"/>
      <c r="G18" s="5"/>
    </row>
    <row r="19" customFormat="false" ht="46.25" hidden="false" customHeight="false" outlineLevel="0" collapsed="false">
      <c r="A19" s="8" t="s">
        <v>94</v>
      </c>
      <c r="B19" s="8" t="s">
        <v>254</v>
      </c>
      <c r="C19" s="8" t="s">
        <v>96</v>
      </c>
      <c r="D19" s="9" t="s">
        <v>246</v>
      </c>
      <c r="E19" s="10" t="n">
        <v>22.5</v>
      </c>
      <c r="F19" s="10" t="n">
        <f aca="false">ROUND(E19*1.15,1)</f>
        <v>25.9</v>
      </c>
      <c r="G19" s="8" t="s">
        <v>255</v>
      </c>
    </row>
    <row r="20" customFormat="false" ht="46.25" hidden="false" customHeight="false" outlineLevel="0" collapsed="false">
      <c r="A20" s="8" t="s">
        <v>98</v>
      </c>
      <c r="B20" s="8" t="s">
        <v>256</v>
      </c>
      <c r="C20" s="8" t="s">
        <v>79</v>
      </c>
      <c r="D20" s="9" t="s">
        <v>246</v>
      </c>
      <c r="E20" s="10" t="n">
        <v>23.5</v>
      </c>
      <c r="F20" s="10" t="n">
        <f aca="false">ROUND(E20*1.15,1)</f>
        <v>27</v>
      </c>
      <c r="G20" s="8" t="s">
        <v>255</v>
      </c>
    </row>
    <row r="21" customFormat="false" ht="35.05" hidden="false" customHeight="false" outlineLevel="0" collapsed="false">
      <c r="A21" s="8" t="s">
        <v>101</v>
      </c>
      <c r="B21" s="8" t="s">
        <v>257</v>
      </c>
      <c r="C21" s="8" t="s">
        <v>46</v>
      </c>
      <c r="D21" s="9" t="s">
        <v>246</v>
      </c>
      <c r="E21" s="10" t="n">
        <v>27.9</v>
      </c>
      <c r="F21" s="10" t="n">
        <f aca="false">ROUND(E21*1.15,1)</f>
        <v>32.1</v>
      </c>
      <c r="G21" s="8" t="s">
        <v>258</v>
      </c>
    </row>
    <row r="22" customFormat="false" ht="35.05" hidden="false" customHeight="false" outlineLevel="0" collapsed="false">
      <c r="A22" s="8" t="s">
        <v>104</v>
      </c>
      <c r="B22" s="8" t="s">
        <v>259</v>
      </c>
      <c r="C22" s="8" t="s">
        <v>106</v>
      </c>
      <c r="D22" s="9" t="s">
        <v>246</v>
      </c>
      <c r="E22" s="10" t="n">
        <v>25.5</v>
      </c>
      <c r="F22" s="10" t="n">
        <f aca="false">ROUND(E22*1.15,1)</f>
        <v>29.3</v>
      </c>
      <c r="G22" s="8" t="s">
        <v>258</v>
      </c>
    </row>
    <row r="23" customFormat="false" ht="15" hidden="false" customHeight="false" outlineLevel="0" collapsed="false">
      <c r="A23" s="5" t="s">
        <v>108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109</v>
      </c>
      <c r="B24" s="6"/>
      <c r="C24" s="6"/>
      <c r="D24" s="11" t="s">
        <v>248</v>
      </c>
      <c r="E24" s="12" t="n">
        <v>1.2</v>
      </c>
      <c r="F24" s="12" t="n">
        <f aca="false">ROUND(E24*1.15,1)</f>
        <v>1.4</v>
      </c>
      <c r="G24" s="6"/>
    </row>
    <row r="25" customFormat="false" ht="15" hidden="false" customHeight="false" outlineLevel="0" collapsed="false">
      <c r="A25" s="6" t="s">
        <v>111</v>
      </c>
      <c r="B25" s="6"/>
      <c r="C25" s="6"/>
      <c r="D25" s="11" t="s">
        <v>248</v>
      </c>
      <c r="E25" s="12" t="n">
        <v>1.4</v>
      </c>
      <c r="F25" s="12" t="n">
        <f aca="false">ROUND(E25*1.15,1)</f>
        <v>1.6</v>
      </c>
      <c r="G25" s="6"/>
    </row>
    <row r="26" customFormat="false" ht="15" hidden="false" customHeight="false" outlineLevel="0" collapsed="false">
      <c r="A26" s="6" t="s">
        <v>113</v>
      </c>
      <c r="B26" s="6"/>
      <c r="C26" s="6"/>
      <c r="D26" s="11" t="s">
        <v>248</v>
      </c>
      <c r="E26" s="12" t="n">
        <v>1.5</v>
      </c>
      <c r="F26" s="12" t="n">
        <f aca="false">ROUND(E26*1.15,1)</f>
        <v>1.7</v>
      </c>
      <c r="G26" s="6"/>
    </row>
    <row r="27" customFormat="false" ht="15" hidden="false" customHeight="false" outlineLevel="0" collapsed="false">
      <c r="A27" s="6" t="s">
        <v>115</v>
      </c>
      <c r="B27" s="6"/>
      <c r="C27" s="6"/>
      <c r="D27" s="11" t="s">
        <v>248</v>
      </c>
      <c r="E27" s="12" t="n">
        <v>1.9</v>
      </c>
      <c r="F27" s="12" t="n">
        <f aca="false">ROUND(E27*1.15,1)</f>
        <v>2.2</v>
      </c>
      <c r="G27" s="6"/>
    </row>
    <row r="28" customFormat="false" ht="15" hidden="false" customHeight="false" outlineLevel="0" collapsed="false">
      <c r="A28" s="6" t="s">
        <v>117</v>
      </c>
      <c r="B28" s="6"/>
      <c r="C28" s="6"/>
      <c r="D28" s="11" t="s">
        <v>248</v>
      </c>
      <c r="E28" s="12" t="n">
        <v>1.8</v>
      </c>
      <c r="F28" s="12" t="n">
        <f aca="false">ROUND(E28*1.15,1)</f>
        <v>2.1</v>
      </c>
      <c r="G28" s="6"/>
    </row>
    <row r="29" customFormat="false" ht="15" hidden="false" customHeight="false" outlineLevel="0" collapsed="false">
      <c r="A29" s="6" t="s">
        <v>119</v>
      </c>
      <c r="B29" s="6"/>
      <c r="C29" s="6"/>
      <c r="D29" s="11" t="s">
        <v>248</v>
      </c>
      <c r="E29" s="12" t="n">
        <v>1.6</v>
      </c>
      <c r="F29" s="12" t="n">
        <f aca="false">ROUND(E29*1.15,1)</f>
        <v>1.8</v>
      </c>
      <c r="G29" s="6"/>
    </row>
    <row r="30" customFormat="false" ht="15" hidden="false" customHeight="false" outlineLevel="0" collapsed="false">
      <c r="A30" s="6" t="s">
        <v>121</v>
      </c>
      <c r="B30" s="6"/>
      <c r="C30" s="6"/>
      <c r="D30" s="11" t="s">
        <v>248</v>
      </c>
      <c r="E30" s="12" t="n">
        <v>1.5</v>
      </c>
      <c r="F30" s="12" t="n">
        <f aca="false">ROUND(E30*1.15,1)</f>
        <v>1.7</v>
      </c>
      <c r="G30" s="6"/>
    </row>
    <row r="31" customFormat="false" ht="15" hidden="false" customHeight="false" outlineLevel="0" collapsed="false">
      <c r="A31" s="6" t="s">
        <v>122</v>
      </c>
      <c r="B31" s="6"/>
      <c r="C31" s="6"/>
      <c r="D31" s="11" t="s">
        <v>248</v>
      </c>
      <c r="E31" s="12" t="n">
        <v>2</v>
      </c>
      <c r="F31" s="12" t="n">
        <f aca="false">ROUND(E31*1.15,1)</f>
        <v>2.3</v>
      </c>
      <c r="G31" s="6"/>
    </row>
    <row r="32" customFormat="false" ht="15" hidden="false" customHeight="false" outlineLevel="0" collapsed="false">
      <c r="A32" s="6" t="s">
        <v>124</v>
      </c>
      <c r="B32" s="6"/>
      <c r="C32" s="6"/>
      <c r="D32" s="11" t="s">
        <v>248</v>
      </c>
      <c r="E32" s="12" t="n">
        <v>3</v>
      </c>
      <c r="F32" s="12" t="n">
        <f aca="false">ROUND(E32*1.15,1)</f>
        <v>3.5</v>
      </c>
      <c r="G32" s="6"/>
    </row>
    <row r="33" customFormat="false" ht="15" hidden="false" customHeight="false" outlineLevel="0" collapsed="false">
      <c r="A33" s="6" t="s">
        <v>126</v>
      </c>
      <c r="B33" s="6"/>
      <c r="C33" s="6"/>
      <c r="D33" s="11" t="s">
        <v>248</v>
      </c>
      <c r="E33" s="12" t="n">
        <v>3.5</v>
      </c>
      <c r="F33" s="12" t="n">
        <f aca="false">ROUND(E33*1.15,1)</f>
        <v>4</v>
      </c>
      <c r="G33" s="6"/>
    </row>
    <row r="34" customFormat="false" ht="15" hidden="false" customHeight="false" outlineLevel="0" collapsed="false">
      <c r="A34" s="5" t="s">
        <v>128</v>
      </c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6" t="s">
        <v>129</v>
      </c>
      <c r="B35" s="6"/>
      <c r="C35" s="6"/>
      <c r="D35" s="11" t="s">
        <v>248</v>
      </c>
      <c r="E35" s="12" t="n">
        <v>2</v>
      </c>
      <c r="F35" s="12" t="n">
        <f aca="false">ROUND(E35*1.15,1)</f>
        <v>2.3</v>
      </c>
      <c r="G35" s="6"/>
    </row>
    <row r="36" customFormat="false" ht="15" hidden="false" customHeight="false" outlineLevel="0" collapsed="false">
      <c r="A36" s="6" t="s">
        <v>130</v>
      </c>
      <c r="B36" s="6"/>
      <c r="C36" s="6"/>
      <c r="D36" s="11" t="s">
        <v>248</v>
      </c>
      <c r="E36" s="12" t="n">
        <v>3.5</v>
      </c>
      <c r="F36" s="12" t="n">
        <f aca="false">ROUND(E36*1.15,1)</f>
        <v>4</v>
      </c>
      <c r="G36" s="6"/>
    </row>
    <row r="37" customFormat="false" ht="15" hidden="false" customHeight="false" outlineLevel="0" collapsed="false">
      <c r="A37" s="6" t="s">
        <v>131</v>
      </c>
      <c r="B37" s="6"/>
      <c r="C37" s="6"/>
      <c r="D37" s="11" t="s">
        <v>248</v>
      </c>
      <c r="E37" s="12" t="n">
        <v>1.8</v>
      </c>
      <c r="F37" s="12" t="n">
        <f aca="false">ROUND(E37*1.15,1)</f>
        <v>2.1</v>
      </c>
      <c r="G37" s="6"/>
    </row>
    <row r="38" customFormat="false" ht="15" hidden="false" customHeight="false" outlineLevel="0" collapsed="false">
      <c r="A38" s="6" t="s">
        <v>132</v>
      </c>
      <c r="B38" s="6"/>
      <c r="C38" s="6"/>
      <c r="D38" s="11" t="s">
        <v>248</v>
      </c>
      <c r="E38" s="12" t="n">
        <v>3.2</v>
      </c>
      <c r="F38" s="12" t="n">
        <f aca="false">ROUND(E38*1.15,1)</f>
        <v>3.7</v>
      </c>
      <c r="G38" s="6"/>
    </row>
    <row r="39" customFormat="false" ht="15" hidden="false" customHeight="false" outlineLevel="0" collapsed="false">
      <c r="A39" s="6" t="s">
        <v>134</v>
      </c>
      <c r="B39" s="6"/>
      <c r="C39" s="6"/>
      <c r="D39" s="11" t="s">
        <v>248</v>
      </c>
      <c r="E39" s="12" t="n">
        <v>1.2</v>
      </c>
      <c r="F39" s="12" t="n">
        <f aca="false">ROUND(E39*1.15,1)</f>
        <v>1.4</v>
      </c>
      <c r="G39" s="6"/>
    </row>
    <row r="40" customFormat="false" ht="15" hidden="false" customHeight="false" outlineLevel="0" collapsed="false">
      <c r="A40" s="6" t="s">
        <v>135</v>
      </c>
      <c r="B40" s="6"/>
      <c r="C40" s="6"/>
      <c r="D40" s="11" t="s">
        <v>248</v>
      </c>
      <c r="E40" s="12" t="n">
        <v>3</v>
      </c>
      <c r="F40" s="12" t="n">
        <f aca="false">ROUND(E40*1.15,1)</f>
        <v>3.5</v>
      </c>
      <c r="G40" s="6"/>
    </row>
    <row r="41" customFormat="false" ht="15" hidden="false" customHeight="false" outlineLevel="0" collapsed="false">
      <c r="A41" s="6" t="s">
        <v>136</v>
      </c>
      <c r="B41" s="6"/>
      <c r="C41" s="6"/>
      <c r="D41" s="11" t="s">
        <v>248</v>
      </c>
      <c r="E41" s="12" t="n">
        <v>3.8</v>
      </c>
      <c r="F41" s="12" t="n">
        <f aca="false">ROUND(E41*1.15,1)</f>
        <v>4.4</v>
      </c>
      <c r="G41" s="6"/>
    </row>
    <row r="42" customFormat="false" ht="15" hidden="false" customHeight="false" outlineLevel="0" collapsed="false">
      <c r="A42" s="6" t="s">
        <v>138</v>
      </c>
      <c r="B42" s="6"/>
      <c r="C42" s="6"/>
      <c r="D42" s="11" t="s">
        <v>248</v>
      </c>
      <c r="E42" s="12" t="n">
        <v>4</v>
      </c>
      <c r="F42" s="12" t="n">
        <f aca="false">ROUND(E42*1.15,1)</f>
        <v>4.6</v>
      </c>
      <c r="G42" s="6"/>
    </row>
    <row r="43" customFormat="false" ht="15" hidden="false" customHeight="false" outlineLevel="0" collapsed="false">
      <c r="A43" s="6" t="s">
        <v>140</v>
      </c>
      <c r="B43" s="6"/>
      <c r="C43" s="6"/>
      <c r="D43" s="11" t="s">
        <v>248</v>
      </c>
      <c r="E43" s="12" t="n">
        <v>2.5</v>
      </c>
      <c r="F43" s="12" t="n">
        <f aca="false">ROUND(E43*1.15,1)</f>
        <v>2.9</v>
      </c>
      <c r="G43" s="6"/>
    </row>
    <row r="44" customFormat="false" ht="15" hidden="false" customHeight="false" outlineLevel="0" collapsed="false">
      <c r="A44" s="6" t="s">
        <v>142</v>
      </c>
      <c r="B44" s="6"/>
      <c r="C44" s="6"/>
      <c r="D44" s="11" t="s">
        <v>248</v>
      </c>
      <c r="E44" s="12" t="n">
        <v>3</v>
      </c>
      <c r="F44" s="12" t="n">
        <f aca="false">ROUND(E44*1.15,1)</f>
        <v>3.5</v>
      </c>
      <c r="G44" s="6"/>
    </row>
    <row r="45" customFormat="false" ht="15" hidden="false" customHeight="false" outlineLevel="0" collapsed="false">
      <c r="A45" s="6" t="s">
        <v>143</v>
      </c>
      <c r="B45" s="6" t="s">
        <v>144</v>
      </c>
      <c r="C45" s="6"/>
      <c r="D45" s="11" t="s">
        <v>248</v>
      </c>
      <c r="E45" s="12" t="n">
        <v>2.8</v>
      </c>
      <c r="F45" s="12" t="n">
        <f aca="false">ROUND(E45*1.15,1)</f>
        <v>3.2</v>
      </c>
      <c r="G45" s="6"/>
    </row>
    <row r="46" customFormat="false" ht="15" hidden="false" customHeight="false" outlineLevel="0" collapsed="false">
      <c r="A46" s="5" t="s">
        <v>146</v>
      </c>
      <c r="B46" s="5"/>
      <c r="C46" s="5"/>
      <c r="D46" s="5"/>
      <c r="E46" s="5"/>
      <c r="F46" s="5"/>
      <c r="G46" s="5"/>
    </row>
    <row r="47" customFormat="false" ht="15" hidden="false" customHeight="false" outlineLevel="0" collapsed="false">
      <c r="A47" s="6" t="s">
        <v>147</v>
      </c>
      <c r="B47" s="6" t="s">
        <v>148</v>
      </c>
      <c r="C47" s="6"/>
      <c r="D47" s="11" t="s">
        <v>248</v>
      </c>
      <c r="E47" s="12" t="n">
        <v>6.5</v>
      </c>
      <c r="F47" s="12" t="n">
        <f aca="false">ROUND(E47*1.15,1)</f>
        <v>7.5</v>
      </c>
      <c r="G47" s="6"/>
    </row>
    <row r="48" customFormat="false" ht="15" hidden="false" customHeight="false" outlineLevel="0" collapsed="false">
      <c r="A48" s="6" t="s">
        <v>150</v>
      </c>
      <c r="B48" s="6" t="s">
        <v>151</v>
      </c>
      <c r="C48" s="6"/>
      <c r="D48" s="11" t="s">
        <v>248</v>
      </c>
      <c r="E48" s="12" t="n">
        <v>9.5</v>
      </c>
      <c r="F48" s="12" t="n">
        <f aca="false">ROUND(E48*1.15,1)</f>
        <v>10.9</v>
      </c>
      <c r="G48" s="6"/>
    </row>
    <row r="49" customFormat="false" ht="15" hidden="false" customHeight="false" outlineLevel="0" collapsed="false">
      <c r="A49" s="6" t="s">
        <v>153</v>
      </c>
      <c r="B49" s="6" t="s">
        <v>154</v>
      </c>
      <c r="C49" s="6"/>
      <c r="D49" s="11" t="s">
        <v>248</v>
      </c>
      <c r="E49" s="12" t="n">
        <v>10.5</v>
      </c>
      <c r="F49" s="12" t="n">
        <f aca="false">ROUND(E49*1.15,1)</f>
        <v>12.1</v>
      </c>
      <c r="G49" s="6"/>
    </row>
    <row r="50" customFormat="false" ht="15" hidden="false" customHeight="false" outlineLevel="0" collapsed="false">
      <c r="A50" s="5" t="s">
        <v>156</v>
      </c>
      <c r="B50" s="5"/>
      <c r="C50" s="5"/>
      <c r="D50" s="5"/>
      <c r="E50" s="5"/>
      <c r="F50" s="5"/>
      <c r="G50" s="5"/>
    </row>
    <row r="51" customFormat="false" ht="15" hidden="false" customHeight="false" outlineLevel="0" collapsed="false">
      <c r="A51" s="6" t="s">
        <v>157</v>
      </c>
      <c r="B51" s="6" t="s">
        <v>158</v>
      </c>
      <c r="C51" s="6" t="s">
        <v>159</v>
      </c>
      <c r="D51" s="11" t="s">
        <v>248</v>
      </c>
      <c r="E51" s="12" t="n">
        <v>12.9</v>
      </c>
      <c r="F51" s="12" t="n">
        <f aca="false">ROUND(E51*1.15,1)</f>
        <v>14.8</v>
      </c>
      <c r="G51" s="6"/>
    </row>
    <row r="52" customFormat="false" ht="15" hidden="false" customHeight="false" outlineLevel="0" collapsed="false">
      <c r="A52" s="6" t="s">
        <v>160</v>
      </c>
      <c r="B52" s="6" t="s">
        <v>161</v>
      </c>
      <c r="C52" s="6" t="s">
        <v>159</v>
      </c>
      <c r="D52" s="11" t="s">
        <v>248</v>
      </c>
      <c r="E52" s="12" t="n">
        <v>12.9</v>
      </c>
      <c r="F52" s="12" t="n">
        <f aca="false">ROUND(E52*1.15,1)</f>
        <v>14.8</v>
      </c>
      <c r="G52" s="6"/>
    </row>
    <row r="53" customFormat="false" ht="15" hidden="false" customHeight="false" outlineLevel="0" collapsed="false">
      <c r="A53" s="6" t="s">
        <v>162</v>
      </c>
      <c r="B53" s="6" t="s">
        <v>163</v>
      </c>
      <c r="C53" s="6" t="s">
        <v>159</v>
      </c>
      <c r="D53" s="11" t="s">
        <v>248</v>
      </c>
      <c r="E53" s="12" t="n">
        <v>12.9</v>
      </c>
      <c r="F53" s="12" t="n">
        <f aca="false">ROUND(E53*1.15,1)</f>
        <v>14.8</v>
      </c>
      <c r="G53" s="6"/>
    </row>
    <row r="54" customFormat="false" ht="23.85" hidden="false" customHeight="false" outlineLevel="0" collapsed="false">
      <c r="A54" s="6" t="s">
        <v>164</v>
      </c>
      <c r="B54" s="6" t="s">
        <v>165</v>
      </c>
      <c r="C54" s="6" t="s">
        <v>166</v>
      </c>
      <c r="D54" s="11" t="s">
        <v>248</v>
      </c>
      <c r="E54" s="12" t="n">
        <v>12.9</v>
      </c>
      <c r="F54" s="12" t="n">
        <f aca="false">ROUND(E54*1.15,1)</f>
        <v>14.8</v>
      </c>
      <c r="G54" s="6"/>
    </row>
    <row r="55" customFormat="false" ht="15" hidden="false" customHeight="false" outlineLevel="0" collapsed="false">
      <c r="A55" s="6" t="s">
        <v>167</v>
      </c>
      <c r="B55" s="6" t="s">
        <v>168</v>
      </c>
      <c r="C55" s="6" t="s">
        <v>169</v>
      </c>
      <c r="D55" s="11" t="s">
        <v>248</v>
      </c>
      <c r="E55" s="12" t="n">
        <v>13.9</v>
      </c>
      <c r="F55" s="12" t="n">
        <f aca="false">ROUND(E55*1.15,1)</f>
        <v>16</v>
      </c>
      <c r="G55" s="6"/>
    </row>
    <row r="56" customFormat="false" ht="23.85" hidden="false" customHeight="false" outlineLevel="0" collapsed="false">
      <c r="A56" s="6" t="s">
        <v>171</v>
      </c>
      <c r="B56" s="6" t="s">
        <v>172</v>
      </c>
      <c r="C56" s="6" t="s">
        <v>173</v>
      </c>
      <c r="D56" s="11" t="s">
        <v>248</v>
      </c>
      <c r="E56" s="12" t="n">
        <v>13.9</v>
      </c>
      <c r="F56" s="12" t="n">
        <f aca="false">ROUND(E56*1.15,1)</f>
        <v>16</v>
      </c>
      <c r="G56" s="6"/>
    </row>
    <row r="57" customFormat="false" ht="46.25" hidden="false" customHeight="false" outlineLevel="0" collapsed="false">
      <c r="A57" s="8" t="s">
        <v>174</v>
      </c>
      <c r="B57" s="8" t="s">
        <v>175</v>
      </c>
      <c r="C57" s="8" t="s">
        <v>176</v>
      </c>
      <c r="D57" s="9" t="s">
        <v>246</v>
      </c>
      <c r="E57" s="8" t="s">
        <v>177</v>
      </c>
      <c r="F57" s="8" t="s">
        <v>260</v>
      </c>
      <c r="G57" s="8" t="s">
        <v>261</v>
      </c>
    </row>
    <row r="58" customFormat="false" ht="15" hidden="false" customHeight="false" outlineLevel="0" collapsed="false">
      <c r="A58" s="5" t="s">
        <v>178</v>
      </c>
      <c r="B58" s="5"/>
      <c r="C58" s="5"/>
      <c r="D58" s="5"/>
      <c r="E58" s="5"/>
      <c r="F58" s="5"/>
      <c r="G58" s="5"/>
    </row>
    <row r="59" customFormat="false" ht="35.05" hidden="false" customHeight="false" outlineLevel="0" collapsed="false">
      <c r="A59" s="6" t="s">
        <v>179</v>
      </c>
      <c r="B59" s="6" t="s">
        <v>180</v>
      </c>
      <c r="C59" s="6" t="s">
        <v>181</v>
      </c>
      <c r="D59" s="11" t="s">
        <v>248</v>
      </c>
      <c r="E59" s="12" t="n">
        <v>13.5</v>
      </c>
      <c r="F59" s="12" t="n">
        <f aca="false">ROUND(E59*1.15,1)</f>
        <v>15.5</v>
      </c>
      <c r="G59" s="6"/>
    </row>
    <row r="60" customFormat="false" ht="15" hidden="false" customHeight="false" outlineLevel="0" collapsed="false">
      <c r="A60" s="5" t="s">
        <v>183</v>
      </c>
      <c r="B60" s="5"/>
      <c r="C60" s="5"/>
      <c r="D60" s="5"/>
      <c r="E60" s="5"/>
      <c r="F60" s="5"/>
      <c r="G60" s="5"/>
    </row>
    <row r="61" customFormat="false" ht="23.85" hidden="false" customHeight="false" outlineLevel="0" collapsed="false">
      <c r="A61" s="6" t="s">
        <v>184</v>
      </c>
      <c r="B61" s="6" t="s">
        <v>262</v>
      </c>
      <c r="C61" s="6" t="s">
        <v>186</v>
      </c>
      <c r="D61" s="11" t="s">
        <v>248</v>
      </c>
      <c r="E61" s="12" t="n">
        <v>3.5</v>
      </c>
      <c r="F61" s="12" t="n">
        <f aca="false">ROUND(E61*1.15,1)</f>
        <v>4</v>
      </c>
      <c r="G61" s="6" t="s">
        <v>263</v>
      </c>
    </row>
    <row r="62" customFormat="false" ht="23.85" hidden="false" customHeight="false" outlineLevel="0" collapsed="false">
      <c r="A62" s="6" t="s">
        <v>188</v>
      </c>
      <c r="B62" s="6" t="s">
        <v>264</v>
      </c>
      <c r="C62" s="6" t="s">
        <v>186</v>
      </c>
      <c r="D62" s="11" t="s">
        <v>248</v>
      </c>
      <c r="E62" s="12" t="n">
        <v>4.5</v>
      </c>
      <c r="F62" s="12" t="n">
        <f aca="false">ROUND(E62*1.15,1)</f>
        <v>5.2</v>
      </c>
      <c r="G62" s="6" t="s">
        <v>263</v>
      </c>
    </row>
    <row r="63" customFormat="false" ht="23.85" hidden="false" customHeight="false" outlineLevel="0" collapsed="false">
      <c r="A63" s="6" t="s">
        <v>47</v>
      </c>
      <c r="B63" s="6" t="s">
        <v>265</v>
      </c>
      <c r="C63" s="6" t="s">
        <v>186</v>
      </c>
      <c r="D63" s="11" t="s">
        <v>248</v>
      </c>
      <c r="E63" s="12" t="n">
        <v>4.8</v>
      </c>
      <c r="F63" s="12" t="n">
        <f aca="false">ROUND(E63*1.15,1)</f>
        <v>5.5</v>
      </c>
      <c r="G63" s="6" t="s">
        <v>263</v>
      </c>
    </row>
    <row r="64" customFormat="false" ht="15" hidden="false" customHeight="false" outlineLevel="0" collapsed="false">
      <c r="A64" s="5" t="s">
        <v>193</v>
      </c>
      <c r="B64" s="5"/>
      <c r="C64" s="5"/>
      <c r="D64" s="5"/>
      <c r="E64" s="5"/>
      <c r="F64" s="5"/>
      <c r="G64" s="5"/>
    </row>
    <row r="65" customFormat="false" ht="15" hidden="false" customHeight="false" outlineLevel="0" collapsed="false">
      <c r="A65" s="6" t="s">
        <v>194</v>
      </c>
      <c r="B65" s="6"/>
      <c r="C65" s="6"/>
      <c r="D65" s="11" t="s">
        <v>248</v>
      </c>
      <c r="E65" s="12" t="n">
        <v>1.8</v>
      </c>
      <c r="F65" s="12" t="n">
        <f aca="false">ROUND(E65*1.15,1)</f>
        <v>2.1</v>
      </c>
      <c r="G65" s="6"/>
    </row>
    <row r="66" customFormat="false" ht="15" hidden="false" customHeight="false" outlineLevel="0" collapsed="false">
      <c r="A66" s="6" t="s">
        <v>195</v>
      </c>
      <c r="B66" s="6"/>
      <c r="C66" s="6"/>
      <c r="D66" s="11" t="s">
        <v>248</v>
      </c>
      <c r="E66" s="12" t="n">
        <v>2</v>
      </c>
      <c r="F66" s="12" t="n">
        <f aca="false">ROUND(E66*1.15,1)</f>
        <v>2.3</v>
      </c>
      <c r="G66" s="6"/>
    </row>
    <row r="67" customFormat="false" ht="15" hidden="false" customHeight="false" outlineLevel="0" collapsed="false">
      <c r="A67" s="6" t="s">
        <v>196</v>
      </c>
      <c r="B67" s="6"/>
      <c r="C67" s="6"/>
      <c r="D67" s="11" t="s">
        <v>248</v>
      </c>
      <c r="E67" s="12" t="n">
        <v>2.5</v>
      </c>
      <c r="F67" s="12" t="n">
        <f aca="false">ROUND(E67*1.15,1)</f>
        <v>2.9</v>
      </c>
      <c r="G67" s="6"/>
    </row>
    <row r="68" customFormat="false" ht="15" hidden="false" customHeight="false" outlineLevel="0" collapsed="false">
      <c r="A68" s="6" t="s">
        <v>197</v>
      </c>
      <c r="B68" s="6"/>
      <c r="C68" s="6"/>
      <c r="D68" s="11" t="s">
        <v>248</v>
      </c>
      <c r="E68" s="12" t="n">
        <v>2.5</v>
      </c>
      <c r="F68" s="12" t="n">
        <f aca="false">ROUND(E68*1.15,1)</f>
        <v>2.9</v>
      </c>
      <c r="G68" s="6"/>
    </row>
    <row r="69" customFormat="false" ht="15" hidden="false" customHeight="false" outlineLevel="0" collapsed="false">
      <c r="A69" s="6" t="s">
        <v>198</v>
      </c>
      <c r="B69" s="6"/>
      <c r="C69" s="6"/>
      <c r="D69" s="11" t="s">
        <v>248</v>
      </c>
      <c r="E69" s="12" t="n">
        <v>2.8</v>
      </c>
      <c r="F69" s="12" t="n">
        <f aca="false">ROUND(E69*1.15,1)</f>
        <v>3.2</v>
      </c>
      <c r="G69" s="6"/>
    </row>
    <row r="70" customFormat="false" ht="15" hidden="false" customHeight="false" outlineLevel="0" collapsed="false">
      <c r="A70" s="6" t="s">
        <v>199</v>
      </c>
      <c r="B70" s="6"/>
      <c r="C70" s="6"/>
      <c r="D70" s="11" t="s">
        <v>248</v>
      </c>
      <c r="E70" s="12" t="n">
        <v>2.5</v>
      </c>
      <c r="F70" s="12" t="n">
        <f aca="false">ROUND(E70*1.15,1)</f>
        <v>2.9</v>
      </c>
      <c r="G70" s="6"/>
    </row>
    <row r="71" customFormat="false" ht="15" hidden="false" customHeight="false" outlineLevel="0" collapsed="false">
      <c r="A71" s="6" t="s">
        <v>200</v>
      </c>
      <c r="B71" s="6"/>
      <c r="C71" s="6"/>
      <c r="D71" s="11" t="s">
        <v>248</v>
      </c>
      <c r="E71" s="6" t="s">
        <v>201</v>
      </c>
      <c r="F71" s="6" t="s">
        <v>260</v>
      </c>
      <c r="G71" s="6"/>
    </row>
    <row r="72" customFormat="false" ht="15" hidden="false" customHeight="false" outlineLevel="0" collapsed="false">
      <c r="A72" s="5" t="s">
        <v>202</v>
      </c>
      <c r="B72" s="5"/>
      <c r="C72" s="5"/>
      <c r="D72" s="5"/>
      <c r="E72" s="5"/>
      <c r="F72" s="5"/>
      <c r="G72" s="5"/>
    </row>
    <row r="73" customFormat="false" ht="15" hidden="false" customHeight="false" outlineLevel="0" collapsed="false">
      <c r="A73" s="6" t="s">
        <v>124</v>
      </c>
      <c r="B73" s="6"/>
      <c r="C73" s="6"/>
      <c r="D73" s="11" t="s">
        <v>248</v>
      </c>
      <c r="E73" s="12" t="n">
        <v>3</v>
      </c>
      <c r="F73" s="12" t="n">
        <f aca="false">ROUND(E73*1.15,1)</f>
        <v>3.5</v>
      </c>
      <c r="G73" s="6"/>
    </row>
    <row r="74" customFormat="false" ht="15" hidden="false" customHeight="false" outlineLevel="0" collapsed="false">
      <c r="A74" s="6" t="s">
        <v>126</v>
      </c>
      <c r="B74" s="6"/>
      <c r="C74" s="6"/>
      <c r="D74" s="11" t="s">
        <v>248</v>
      </c>
      <c r="E74" s="12" t="n">
        <v>3.5</v>
      </c>
      <c r="F74" s="12" t="n">
        <f aca="false">ROUND(E74*1.15,1)</f>
        <v>4</v>
      </c>
      <c r="G74" s="6"/>
    </row>
    <row r="75" customFormat="false" ht="15" hidden="false" customHeight="false" outlineLevel="0" collapsed="false">
      <c r="A75" s="6" t="s">
        <v>203</v>
      </c>
      <c r="B75" s="6"/>
      <c r="C75" s="6"/>
      <c r="D75" s="11" t="s">
        <v>248</v>
      </c>
      <c r="E75" s="12" t="n">
        <v>3</v>
      </c>
      <c r="F75" s="12" t="n">
        <f aca="false">ROUND(E75*1.15,1)</f>
        <v>3.5</v>
      </c>
      <c r="G75" s="6"/>
    </row>
    <row r="76" customFormat="false" ht="15" hidden="false" customHeight="false" outlineLevel="0" collapsed="false">
      <c r="A76" s="6" t="s">
        <v>204</v>
      </c>
      <c r="B76" s="6"/>
      <c r="C76" s="6"/>
      <c r="D76" s="11" t="s">
        <v>248</v>
      </c>
      <c r="E76" s="12" t="n">
        <v>2.5</v>
      </c>
      <c r="F76" s="12" t="n">
        <f aca="false">ROUND(E76*1.15,1)</f>
        <v>2.9</v>
      </c>
      <c r="G76" s="6"/>
    </row>
    <row r="77" customFormat="false" ht="15" hidden="false" customHeight="false" outlineLevel="0" collapsed="false">
      <c r="A77" s="5" t="s">
        <v>205</v>
      </c>
      <c r="B77" s="5"/>
      <c r="C77" s="5"/>
      <c r="D77" s="5"/>
      <c r="E77" s="5"/>
      <c r="F77" s="5"/>
      <c r="G77" s="5"/>
    </row>
    <row r="78" customFormat="false" ht="15" hidden="false" customHeight="false" outlineLevel="0" collapsed="false">
      <c r="A78" s="4" t="s">
        <v>206</v>
      </c>
      <c r="B78" s="4"/>
      <c r="C78" s="4" t="s">
        <v>56</v>
      </c>
      <c r="D78" s="13" t="s">
        <v>266</v>
      </c>
      <c r="E78" s="14" t="n">
        <v>3.5</v>
      </c>
      <c r="F78" s="4"/>
      <c r="G78" s="4" t="s">
        <v>267</v>
      </c>
    </row>
    <row r="79" customFormat="false" ht="15" hidden="false" customHeight="false" outlineLevel="0" collapsed="false">
      <c r="A79" s="6" t="s">
        <v>207</v>
      </c>
      <c r="B79" s="6"/>
      <c r="C79" s="6" t="s">
        <v>56</v>
      </c>
      <c r="D79" s="11" t="s">
        <v>248</v>
      </c>
      <c r="E79" s="12" t="n">
        <v>16</v>
      </c>
      <c r="F79" s="12" t="n">
        <f aca="false">ROUND(E79*1.15,1)</f>
        <v>18.4</v>
      </c>
      <c r="G79" s="6"/>
    </row>
    <row r="80" customFormat="false" ht="15" hidden="false" customHeight="false" outlineLevel="0" collapsed="false">
      <c r="A80" s="4" t="s">
        <v>209</v>
      </c>
      <c r="B80" s="4"/>
      <c r="C80" s="4" t="s">
        <v>56</v>
      </c>
      <c r="D80" s="13" t="s">
        <v>266</v>
      </c>
      <c r="E80" s="14" t="n">
        <v>3.5</v>
      </c>
      <c r="F80" s="4"/>
      <c r="G80" s="4" t="s">
        <v>267</v>
      </c>
    </row>
    <row r="81" customFormat="false" ht="15" hidden="false" customHeight="false" outlineLevel="0" collapsed="false">
      <c r="A81" s="6" t="s">
        <v>210</v>
      </c>
      <c r="B81" s="6"/>
      <c r="C81" s="6" t="s">
        <v>56</v>
      </c>
      <c r="D81" s="11" t="s">
        <v>248</v>
      </c>
      <c r="E81" s="12" t="n">
        <v>16</v>
      </c>
      <c r="F81" s="12" t="n">
        <f aca="false">ROUND(E81*1.15,1)</f>
        <v>18.4</v>
      </c>
      <c r="G81" s="6"/>
    </row>
    <row r="82" customFormat="false" ht="15" hidden="false" customHeight="false" outlineLevel="0" collapsed="false">
      <c r="A82" s="4" t="s">
        <v>211</v>
      </c>
      <c r="B82" s="4"/>
      <c r="C82" s="4" t="s">
        <v>56</v>
      </c>
      <c r="D82" s="13" t="s">
        <v>266</v>
      </c>
      <c r="E82" s="14" t="n">
        <v>3.8</v>
      </c>
      <c r="F82" s="4"/>
      <c r="G82" s="4" t="s">
        <v>267</v>
      </c>
    </row>
    <row r="83" customFormat="false" ht="15" hidden="false" customHeight="false" outlineLevel="0" collapsed="false">
      <c r="A83" s="6" t="s">
        <v>212</v>
      </c>
      <c r="B83" s="6"/>
      <c r="C83" s="6" t="s">
        <v>56</v>
      </c>
      <c r="D83" s="11" t="s">
        <v>248</v>
      </c>
      <c r="E83" s="12" t="n">
        <v>17</v>
      </c>
      <c r="F83" s="12" t="n">
        <f aca="false">ROUND(E83*1.15,1)</f>
        <v>19.6</v>
      </c>
      <c r="G83" s="6"/>
    </row>
    <row r="84" customFormat="false" ht="15" hidden="false" customHeight="false" outlineLevel="0" collapsed="false">
      <c r="A84" s="4" t="s">
        <v>214</v>
      </c>
      <c r="B84" s="4"/>
      <c r="C84" s="4" t="s">
        <v>56</v>
      </c>
      <c r="D84" s="13" t="s">
        <v>266</v>
      </c>
      <c r="E84" s="14" t="n">
        <v>3.8</v>
      </c>
      <c r="F84" s="4"/>
      <c r="G84" s="4" t="s">
        <v>267</v>
      </c>
    </row>
    <row r="85" customFormat="false" ht="15" hidden="false" customHeight="false" outlineLevel="0" collapsed="false">
      <c r="A85" s="6" t="s">
        <v>215</v>
      </c>
      <c r="B85" s="6"/>
      <c r="C85" s="6" t="s">
        <v>56</v>
      </c>
      <c r="D85" s="11" t="s">
        <v>248</v>
      </c>
      <c r="E85" s="12" t="n">
        <v>17</v>
      </c>
      <c r="F85" s="12" t="n">
        <f aca="false">ROUND(E85*1.15,1)</f>
        <v>19.6</v>
      </c>
      <c r="G85" s="6"/>
    </row>
    <row r="86" customFormat="false" ht="15" hidden="false" customHeight="false" outlineLevel="0" collapsed="false">
      <c r="A86" s="4" t="s">
        <v>216</v>
      </c>
      <c r="B86" s="4"/>
      <c r="C86" s="4" t="s">
        <v>56</v>
      </c>
      <c r="D86" s="13" t="s">
        <v>266</v>
      </c>
      <c r="E86" s="14" t="n">
        <v>4.5</v>
      </c>
      <c r="F86" s="4"/>
      <c r="G86" s="4" t="s">
        <v>267</v>
      </c>
    </row>
    <row r="87" customFormat="false" ht="15" hidden="false" customHeight="false" outlineLevel="0" collapsed="false">
      <c r="A87" s="6" t="s">
        <v>218</v>
      </c>
      <c r="B87" s="6"/>
      <c r="C87" s="6" t="s">
        <v>56</v>
      </c>
      <c r="D87" s="11" t="s">
        <v>248</v>
      </c>
      <c r="E87" s="12" t="n">
        <v>22</v>
      </c>
      <c r="F87" s="12" t="n">
        <f aca="false">ROUND(E87*1.15,1)</f>
        <v>25.3</v>
      </c>
      <c r="G87" s="6"/>
    </row>
    <row r="88" customFormat="false" ht="15" hidden="false" customHeight="false" outlineLevel="0" collapsed="false">
      <c r="A88" s="5" t="s">
        <v>220</v>
      </c>
      <c r="B88" s="5"/>
      <c r="C88" s="5"/>
      <c r="D88" s="5"/>
      <c r="E88" s="5"/>
      <c r="F88" s="5"/>
      <c r="G88" s="5"/>
    </row>
    <row r="89" customFormat="false" ht="35.05" hidden="false" customHeight="false" outlineLevel="0" collapsed="false">
      <c r="A89" s="4" t="s">
        <v>221</v>
      </c>
      <c r="B89" s="4"/>
      <c r="C89" s="4"/>
      <c r="D89" s="13" t="s">
        <v>266</v>
      </c>
      <c r="E89" s="14" t="n">
        <v>8</v>
      </c>
      <c r="F89" s="4"/>
      <c r="G89" s="4" t="s">
        <v>268</v>
      </c>
    </row>
    <row r="90" customFormat="false" ht="35.05" hidden="false" customHeight="false" outlineLevel="0" collapsed="false">
      <c r="A90" s="4" t="s">
        <v>223</v>
      </c>
      <c r="B90" s="4"/>
      <c r="C90" s="4"/>
      <c r="D90" s="13" t="s">
        <v>266</v>
      </c>
      <c r="E90" s="14" t="n">
        <v>10</v>
      </c>
      <c r="F90" s="4"/>
      <c r="G90" s="4" t="s">
        <v>268</v>
      </c>
    </row>
    <row r="91" customFormat="false" ht="35.05" hidden="false" customHeight="false" outlineLevel="0" collapsed="false">
      <c r="A91" s="4" t="s">
        <v>225</v>
      </c>
      <c r="B91" s="4"/>
      <c r="C91" s="4"/>
      <c r="D91" s="13" t="s">
        <v>266</v>
      </c>
      <c r="E91" s="14" t="n">
        <v>5</v>
      </c>
      <c r="F91" s="4"/>
      <c r="G91" s="4" t="s">
        <v>268</v>
      </c>
    </row>
    <row r="92" customFormat="false" ht="35.05" hidden="false" customHeight="false" outlineLevel="0" collapsed="false">
      <c r="A92" s="4" t="s">
        <v>227</v>
      </c>
      <c r="B92" s="4"/>
      <c r="C92" s="4"/>
      <c r="D92" s="13" t="s">
        <v>266</v>
      </c>
      <c r="E92" s="14" t="n">
        <v>5.5</v>
      </c>
      <c r="F92" s="4"/>
      <c r="G92" s="4" t="s">
        <v>268</v>
      </c>
    </row>
    <row r="93" customFormat="false" ht="35.05" hidden="false" customHeight="false" outlineLevel="0" collapsed="false">
      <c r="A93" s="4" t="s">
        <v>229</v>
      </c>
      <c r="B93" s="4"/>
      <c r="C93" s="4"/>
      <c r="D93" s="13" t="s">
        <v>266</v>
      </c>
      <c r="E93" s="14" t="n">
        <v>8.5</v>
      </c>
      <c r="F93" s="4"/>
      <c r="G93" s="4" t="s">
        <v>268</v>
      </c>
    </row>
    <row r="94" customFormat="false" ht="35.05" hidden="false" customHeight="false" outlineLevel="0" collapsed="false">
      <c r="A94" s="4" t="s">
        <v>231</v>
      </c>
      <c r="B94" s="4"/>
      <c r="C94" s="4"/>
      <c r="D94" s="13" t="s">
        <v>266</v>
      </c>
      <c r="E94" s="14" t="n">
        <v>5.5</v>
      </c>
      <c r="F94" s="4"/>
      <c r="G94" s="4" t="s">
        <v>268</v>
      </c>
    </row>
    <row r="95" customFormat="false" ht="35.05" hidden="false" customHeight="false" outlineLevel="0" collapsed="false">
      <c r="A95" s="4" t="s">
        <v>232</v>
      </c>
      <c r="B95" s="4"/>
      <c r="C95" s="4"/>
      <c r="D95" s="13" t="s">
        <v>266</v>
      </c>
      <c r="E95" s="14" t="n">
        <v>4.5</v>
      </c>
      <c r="F95" s="4"/>
      <c r="G95" s="4" t="s">
        <v>268</v>
      </c>
    </row>
    <row r="96" customFormat="false" ht="35.05" hidden="false" customHeight="false" outlineLevel="0" collapsed="false">
      <c r="A96" s="4" t="s">
        <v>233</v>
      </c>
      <c r="B96" s="4"/>
      <c r="C96" s="4"/>
      <c r="D96" s="13" t="s">
        <v>266</v>
      </c>
      <c r="E96" s="14" t="n">
        <v>5.5</v>
      </c>
      <c r="F96" s="4"/>
      <c r="G96" s="4" t="s">
        <v>268</v>
      </c>
    </row>
    <row r="97" customFormat="false" ht="15" hidden="false" customHeight="false" outlineLevel="0" collapsed="false">
      <c r="A97" s="5" t="s">
        <v>234</v>
      </c>
      <c r="B97" s="5"/>
      <c r="C97" s="5"/>
      <c r="D97" s="5"/>
      <c r="E97" s="5"/>
      <c r="F97" s="5"/>
      <c r="G97" s="5"/>
    </row>
    <row r="98" customFormat="false" ht="35.05" hidden="false" customHeight="false" outlineLevel="0" collapsed="false">
      <c r="A98" s="4" t="s">
        <v>235</v>
      </c>
      <c r="B98" s="4"/>
      <c r="C98" s="4"/>
      <c r="D98" s="13" t="s">
        <v>266</v>
      </c>
      <c r="E98" s="14" t="n">
        <v>3.5</v>
      </c>
      <c r="F98" s="4"/>
      <c r="G98" s="4" t="s">
        <v>268</v>
      </c>
    </row>
    <row r="99" customFormat="false" ht="35.05" hidden="false" customHeight="false" outlineLevel="0" collapsed="false">
      <c r="A99" s="4" t="s">
        <v>236</v>
      </c>
      <c r="B99" s="4"/>
      <c r="C99" s="4"/>
      <c r="D99" s="13" t="s">
        <v>266</v>
      </c>
      <c r="E99" s="14" t="n">
        <v>3.5</v>
      </c>
      <c r="F99" s="4"/>
      <c r="G99" s="4" t="s">
        <v>268</v>
      </c>
    </row>
    <row r="100" customFormat="false" ht="35.05" hidden="false" customHeight="false" outlineLevel="0" collapsed="false">
      <c r="A100" s="4" t="s">
        <v>237</v>
      </c>
      <c r="B100" s="4"/>
      <c r="C100" s="4"/>
      <c r="D100" s="13" t="s">
        <v>266</v>
      </c>
      <c r="E100" s="14" t="n">
        <v>4</v>
      </c>
      <c r="F100" s="4"/>
      <c r="G100" s="4" t="s">
        <v>268</v>
      </c>
    </row>
    <row r="101" customFormat="false" ht="35.05" hidden="false" customHeight="false" outlineLevel="0" collapsed="false">
      <c r="A101" s="4" t="s">
        <v>20</v>
      </c>
      <c r="B101" s="4"/>
      <c r="C101" s="4"/>
      <c r="D101" s="13" t="s">
        <v>266</v>
      </c>
      <c r="E101" s="14" t="n">
        <v>4.5</v>
      </c>
      <c r="F101" s="4"/>
      <c r="G101" s="4" t="s">
        <v>268</v>
      </c>
    </row>
    <row r="102" customFormat="false" ht="35.05" hidden="false" customHeight="false" outlineLevel="0" collapsed="false">
      <c r="A102" s="4" t="s">
        <v>24</v>
      </c>
      <c r="B102" s="4"/>
      <c r="C102" s="4" t="s">
        <v>70</v>
      </c>
      <c r="D102" s="13" t="s">
        <v>266</v>
      </c>
      <c r="E102" s="14" t="n">
        <v>4.5</v>
      </c>
      <c r="F102" s="4"/>
      <c r="G102" s="4" t="s">
        <v>268</v>
      </c>
    </row>
    <row r="103" customFormat="false" ht="35.05" hidden="false" customHeight="false" outlineLevel="0" collapsed="false">
      <c r="A103" s="4" t="s">
        <v>26</v>
      </c>
      <c r="B103" s="4"/>
      <c r="C103" s="4"/>
      <c r="D103" s="13" t="s">
        <v>266</v>
      </c>
      <c r="E103" s="14" t="n">
        <v>4</v>
      </c>
      <c r="F103" s="4"/>
      <c r="G103" s="4" t="s">
        <v>268</v>
      </c>
    </row>
    <row r="104" customFormat="false" ht="35.05" hidden="false" customHeight="false" outlineLevel="0" collapsed="false">
      <c r="A104" s="4" t="s">
        <v>27</v>
      </c>
      <c r="B104" s="4"/>
      <c r="C104" s="4"/>
      <c r="D104" s="13" t="s">
        <v>266</v>
      </c>
      <c r="E104" s="14" t="n">
        <v>5</v>
      </c>
      <c r="F104" s="4"/>
      <c r="G104" s="4" t="s">
        <v>268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2026-07-21T12:17:52Z</dcterms:created>
  <dc:creator>openpyxl</dc:creator>
  <dc:description/>
  <dc:language>en-US</dc:language>
  <cp:lastModifiedBy/>
  <dcterms:modified xsi:type="dcterms:W3CDTF">2026-07-21T12:17:52Z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