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Food Cost" sheetId="2" state="visible" r:id="rId2"/>
    <sheet xmlns:r="http://schemas.openxmlformats.org/officeDocument/2006/relationships" name="Ementa Balcão" sheetId="3" state="visible" r:id="rId3"/>
    <sheet xmlns:r="http://schemas.openxmlformats.org/officeDocument/2006/relationships" name="Ementa Delivery" sheetId="4" state="visible" r:id="rId4"/>
    <sheet xmlns:r="http://schemas.openxmlformats.org/officeDocument/2006/relationships" name="Correções v2" sheetId="5" state="visible" r:id="rId5"/>
    <sheet xmlns:r="http://schemas.openxmlformats.org/officeDocument/2006/relationships" name="Divergências BD" sheetId="6" state="visible" r:id="rId6"/>
    <sheet xmlns:r="http://schemas.openxmlformats.org/officeDocument/2006/relationships" name="Por Re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FF"/>
      <sz val="10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6" fillId="8" borderId="0" pivotButton="0" quotePrefix="0" xfId="0"/>
    <xf numFmtId="0" fontId="0" fillId="8" borderId="0" pivotButton="0" quotePrefix="0" xfId="0"/>
    <xf numFmtId="0" fontId="7" fillId="9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0" fontId="4" fillId="1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8" fillId="0" borderId="1" pivotButton="0" quotePrefix="0" xfId="0"/>
    <xf numFmtId="0" fontId="0" fillId="10" borderId="1" pivotButton="0" quotePrefix="0" xfId="0"/>
    <xf numFmtId="0" fontId="3" fillId="10" borderId="1" pivotButton="0" quotePrefix="0" xfId="0"/>
    <xf numFmtId="164" fontId="3" fillId="10" borderId="1" pivotButton="0" quotePrefix="0" xfId="0"/>
    <xf numFmtId="164" fontId="8" fillId="10" borderId="1" pivotButton="0" quotePrefix="0" xfId="0"/>
    <xf numFmtId="165" fontId="3" fillId="3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top" wrapText="1"/>
    </xf>
    <xf numFmtId="165" fontId="3" fillId="6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3" fillId="0" borderId="1" pivotButton="0" quotePrefix="0" xfId="0"/>
    <xf numFmtId="0" fontId="3" fillId="7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vertical="top" wrapText="1"/>
    </xf>
    <xf numFmtId="164" fontId="3" fillId="5" borderId="1" pivotButton="0" quotePrefix="0" xfId="0"/>
    <xf numFmtId="164" fontId="4" fillId="5" borderId="1" pivotButton="0" quotePrefix="0" xfId="0"/>
    <xf numFmtId="165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3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top" wrapText="1"/>
    </xf>
    <xf numFmtId="164" fontId="3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10" borderId="1" pivotButton="0" quotePrefix="0" xfId="0"/>
    <xf numFmtId="0" fontId="4" fillId="10" borderId="1" applyAlignment="1" pivotButton="0" quotePrefix="0" xfId="0">
      <alignment vertical="top" wrapText="1"/>
    </xf>
    <xf numFmtId="0" fontId="4" fillId="7" borderId="1" pivotButton="0" quotePrefix="0" xfId="0"/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  <xf numFmtId="164" fontId="3" fillId="7" borderId="1" pivotButton="0" quotePrefix="0" xfId="0"/>
    <xf numFmtId="9" fontId="8" fillId="7" borderId="1" pivotButton="0" quotePrefix="0" xfId="0"/>
    <xf numFmtId="165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164" fontId="8" fillId="5" borderId="1" pivotButton="0" quotePrefix="0" xfId="0"/>
    <xf numFmtId="0" fontId="2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8" fillId="4" borderId="1" pivotButton="0" quotePrefix="0" xfId="0"/>
    <xf numFmtId="164" fontId="4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0" customWidth="1" min="2" max="2"/>
    <col width="95" customWidth="1" min="3" max="3"/>
  </cols>
  <sheetData>
    <row r="2">
      <c r="B2" s="1" t="inlineStr">
        <is>
          <t>EMENTA 100PRESSÃO — v2 CORRIGIDA</t>
        </is>
      </c>
    </row>
    <row r="3">
      <c r="B3" s="2" t="inlineStr">
        <is>
          <t>Rita Falcão, Chef Executiva · 16/08/2026</t>
        </is>
      </c>
    </row>
    <row r="4">
      <c r="B4" s="2" t="inlineStr">
        <is>
          <t>Base: "Ementa 100Pressão - Corrigida e Delivery.xlsx"</t>
        </is>
      </c>
    </row>
    <row r="6">
      <c r="B6" s="3" t="inlineStr"/>
      <c r="C6" s="4" t="inlineStr"/>
    </row>
    <row r="7">
      <c r="B7" s="5" t="inlineStr">
        <is>
          <t>COMO LER ESTE FICHEIRO</t>
        </is>
      </c>
    </row>
    <row r="8">
      <c r="B8" s="3" t="inlineStr">
        <is>
          <t>Ementa Balcão</t>
        </is>
      </c>
      <c r="C8" s="4" t="inlineStr">
        <is>
          <t>Carta final para balcão, com food cost calculado prato a prato e alergénios completos.</t>
        </is>
      </c>
    </row>
    <row r="9">
      <c r="B9" s="3" t="inlineStr">
        <is>
          <t>Ementa Delivery</t>
        </is>
      </c>
      <c r="C9" s="4" t="inlineStr">
        <is>
          <t>Preços refeitos a +43% de markup (comissão 30%), com custo de embalagem incluído no food cost.</t>
        </is>
      </c>
    </row>
    <row r="10">
      <c r="B10" s="3" t="inlineStr">
        <is>
          <t>Food Cost</t>
        </is>
      </c>
      <c r="C10" s="4" t="inlineStr">
        <is>
          <t>Memória de cálculo de cada prato: ingredientes, quantidades, custo unitário e food cost %.</t>
        </is>
      </c>
    </row>
    <row r="11">
      <c r="B11" s="3" t="inlineStr">
        <is>
          <t>Correções v2</t>
        </is>
      </c>
      <c r="C11" s="4" t="inlineStr">
        <is>
          <t>Registo de tudo o que alterei em relação ao ficheiro que me enviaste, com justificação.</t>
        </is>
      </c>
    </row>
    <row r="12">
      <c r="B12" s="3" t="inlineStr">
        <is>
          <t>Divergências BD</t>
        </is>
      </c>
      <c r="C12" s="4" t="inlineStr">
        <is>
          <t>⚠️ Diferenças entre esta ementa e o que está neste momento na base de dados de produção.</t>
        </is>
      </c>
    </row>
    <row r="13">
      <c r="B13" s="3" t="inlineStr">
        <is>
          <t>Por Resolver</t>
        </is>
      </c>
      <c r="C13" s="4" t="inlineStr">
        <is>
          <t>O que continua em aberto e depende de decisão ou de informação que não tenho.</t>
        </is>
      </c>
    </row>
    <row r="14">
      <c r="B14" s="3" t="inlineStr"/>
      <c r="C14" s="4" t="inlineStr"/>
    </row>
    <row r="15">
      <c r="B15" s="5" t="inlineStr">
        <is>
          <t>CÓDIGO DE CORES</t>
        </is>
      </c>
    </row>
    <row r="16">
      <c r="B16" s="6" t="inlineStr">
        <is>
          <t>Verde</t>
        </is>
      </c>
      <c r="C16" s="4" t="inlineStr">
        <is>
          <t>Food cost entre 25% e 34% — zona saudável. Aprovado.</t>
        </is>
      </c>
    </row>
    <row r="17">
      <c r="B17" s="7" t="inlineStr">
        <is>
          <t>Âmbar</t>
        </is>
      </c>
      <c r="C17" s="4" t="inlineStr">
        <is>
          <t>Food cost 34%–40% — apertado. Vigiar, mas passa.</t>
        </is>
      </c>
    </row>
    <row r="18">
      <c r="B18" s="8" t="inlineStr">
        <is>
          <t>Vermelho</t>
        </is>
      </c>
      <c r="C18" s="4" t="inlineStr">
        <is>
          <t>Food cost acima de 40%, ou bloqueio legal/operacional. NÃO publicar.</t>
        </is>
      </c>
    </row>
    <row r="19">
      <c r="B19" s="9" t="inlineStr">
        <is>
          <t>Azul</t>
        </is>
      </c>
      <c r="C19" s="4" t="inlineStr">
        <is>
          <t>Food cost abaixo de 12% — não é boa notícia, é sinal de que o custo está mal definido.</t>
        </is>
      </c>
    </row>
    <row r="20">
      <c r="B20" s="10" t="inlineStr">
        <is>
          <t>Amarelo</t>
        </is>
      </c>
      <c r="C20" s="4" t="inlineStr">
        <is>
          <t>Célula que precisa de decisão ou informação tua.</t>
        </is>
      </c>
    </row>
    <row r="21">
      <c r="B21" s="3" t="inlineStr"/>
      <c r="C21" s="4" t="inlineStr"/>
    </row>
    <row r="22">
      <c r="B22" s="5" t="inlineStr">
        <is>
          <t>BASE DOS NÚMEROS</t>
        </is>
      </c>
    </row>
    <row r="23">
      <c r="B23" s="3" t="inlineStr">
        <is>
          <t>Custos de ingredientes</t>
        </is>
      </c>
      <c r="C23" s="4" t="inlineStr">
        <is>
          <t>Preços reais de compra (Makro) lidos da tabela stock_items da base de dados de produção, em 16/08/2026.</t>
        </is>
      </c>
    </row>
    <row r="24">
      <c r="B24" s="3" t="inlineStr">
        <is>
          <t>Comissão de delivery</t>
        </is>
      </c>
      <c r="C24" s="4" t="inlineStr">
        <is>
          <t>30% — assumido por decisão tua. Markup resultante: +43% (1 ÷ 0,70).</t>
        </is>
      </c>
    </row>
    <row r="25">
      <c r="B25" s="3" t="inlineStr">
        <is>
          <t>Embalagem</t>
        </is>
      </c>
      <c r="C25" s="4" t="inlineStr">
        <is>
          <t>0,40 € por petisco, 0,55 € por prato feito, 0,90 € para a tábua. ESTIMATIVA MINHA — validar com o fornecedor de embalagens.</t>
        </is>
      </c>
    </row>
    <row r="26">
      <c r="B26" s="3" t="inlineStr">
        <is>
          <t>Target de food cost</t>
        </is>
      </c>
      <c r="C26" s="4" t="inlineStr">
        <is>
          <t>30% como alvo, até 34% aceitável em petiscos de partilha. Acima de 40% não vai para a carta.</t>
        </is>
      </c>
    </row>
    <row r="27">
      <c r="B27" s="3" t="inlineStr"/>
      <c r="C27" s="4" t="inlineStr"/>
    </row>
    <row r="28">
      <c r="B28" s="5" t="inlineStr">
        <is>
          <t>O QUE ESTE FICHEIRO NÃO RESOLVE</t>
        </is>
      </c>
    </row>
    <row r="29">
      <c r="B29" s="3" t="inlineStr">
        <is>
          <t>Pratos Feitos</t>
        </is>
      </c>
      <c r="C29" s="4" t="inlineStr">
        <is>
          <t>Continuam sem ficha técnica e sem custeio. A "base fixa" nunca foi definida. Não custeei nenhum PF porque não tenho os ingredientes em sistema.</t>
        </is>
      </c>
    </row>
    <row r="30">
      <c r="B30" s="3" t="inlineStr">
        <is>
          <t>Tábua da Casa e Pica-Pau</t>
        </is>
      </c>
      <c r="C30" s="4" t="inlineStr">
        <is>
          <t>Sem ficha técnica em sistema. Não custeáveis.</t>
        </is>
      </c>
    </row>
    <row r="31">
      <c r="B31" s="3" t="inlineStr">
        <is>
          <t>Porções sem gramagem</t>
        </is>
      </c>
      <c r="C31" s="4" t="inlineStr">
        <is>
          <t>Moelas, Calabresa, Batatas c/ Cheddar e Bacon têm custo por "porção" sem gramagem definida. Os food costs destes três não são de confiança.</t>
        </is>
      </c>
    </row>
    <row r="32">
      <c r="B32" s="3" t="inlineStr">
        <is>
          <t>Cervejas da casa</t>
        </is>
      </c>
      <c r="C32" s="4" t="inlineStr">
        <is>
          <t>Não tenho custo de produção por litro. Sem isso não custeio combos com jarro nem valido os preços de 3,50/4,50/4,80 €.</t>
        </is>
      </c>
    </row>
  </sheetData>
  <mergeCells count="4">
    <mergeCell ref="B22:C22"/>
    <mergeCell ref="B28:C28"/>
    <mergeCell ref="B15:C1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46" customWidth="1" min="8" max="8"/>
  </cols>
  <sheetData>
    <row r="1">
      <c r="A1" s="11" t="inlineStr">
        <is>
          <t>MEMÓRIA DE CÁLCULO — FOOD COST</t>
        </is>
      </c>
      <c r="B1" s="12" t="n"/>
      <c r="C1" s="12" t="n"/>
      <c r="D1" s="12" t="n"/>
      <c r="E1" s="12" t="n"/>
      <c r="F1" s="12" t="n"/>
      <c r="G1" s="12" t="n"/>
      <c r="H1" s="12" t="n"/>
    </row>
    <row r="2">
      <c r="A2" s="2" t="inlineStr">
        <is>
          <t>Custos de compra (Makro) lidos de stock_items na BD de produção, 16/08/2026. Alterar um custo na coluna D recalcula tudo.</t>
        </is>
      </c>
    </row>
    <row r="4">
      <c r="A4" s="13" t="inlineStr">
        <is>
          <t>Prato</t>
        </is>
      </c>
      <c r="B4" s="13" t="inlineStr">
        <is>
          <t>Ingrediente</t>
        </is>
      </c>
      <c r="C4" s="13" t="inlineStr">
        <is>
          <t>Qtd</t>
        </is>
      </c>
      <c r="D4" s="13" t="inlineStr">
        <is>
          <t>Custo unit. (€)</t>
        </is>
      </c>
      <c r="E4" s="13" t="inlineStr">
        <is>
          <t>Custo linha (€)</t>
        </is>
      </c>
      <c r="F4" s="13" t="inlineStr">
        <is>
          <t>PVP (€)</t>
        </is>
      </c>
      <c r="G4" s="13" t="inlineStr">
        <is>
          <t>Food Cost %</t>
        </is>
      </c>
      <c r="H4" s="13" t="inlineStr">
        <is>
          <t>Notas</t>
        </is>
      </c>
    </row>
    <row r="5">
      <c r="A5" s="5" t="inlineStr">
        <is>
          <t>PETISCOS — doses e preços corrigidos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15" t="inlineStr">
        <is>
          <t>Tábua da Casa (2-3 pessoas)</t>
        </is>
      </c>
      <c r="B6" s="16" t="inlineStr">
        <is>
          <t>— sem ficha técnica —</t>
        </is>
      </c>
      <c r="C6" s="17" t="n"/>
      <c r="D6" s="17" t="n"/>
      <c r="E6" s="17" t="n"/>
      <c r="F6" s="18" t="n">
        <v>17.9</v>
      </c>
      <c r="G6" s="19" t="inlineStr">
        <is>
          <t>n/d</t>
        </is>
      </c>
      <c r="H6" s="20" t="inlineStr">
        <is>
          <t>Sulfitos acrescentados: chouriço e paio levam quase sempre conservantes sulfitados. Confirmar ficha do fornecedor.</t>
        </is>
      </c>
    </row>
    <row r="7">
      <c r="A7" s="15" t="inlineStr">
        <is>
          <t>Pastéis de Bacalhau (6 un)</t>
        </is>
      </c>
      <c r="B7" s="21" t="inlineStr">
        <is>
          <t>Pastel de bacalhau</t>
        </is>
      </c>
      <c r="C7" s="22" t="n">
        <v>6</v>
      </c>
      <c r="D7" s="23" t="n">
        <v>0.55</v>
      </c>
      <c r="E7" s="18">
        <f>C7*D7</f>
        <v>3.3</v>
      </c>
      <c r="F7" s="17" t="n"/>
      <c r="G7" s="17" t="n"/>
      <c r="H7" s="17" t="n"/>
    </row>
    <row r="8">
      <c r="A8" s="24" t="n"/>
      <c r="B8" s="25" t="inlineStr">
        <is>
          <t>TOTAL — Pastéis de Bacalhau (6 un)</t>
        </is>
      </c>
      <c r="C8" s="24" t="n"/>
      <c r="D8" s="24" t="n"/>
      <c r="E8" s="26">
        <f>SUM(E7:E7)</f>
        <v>3.3</v>
      </c>
      <c r="F8" s="27" t="n">
        <v>9.9</v>
      </c>
      <c r="G8" s="28">
        <f>IFERROR(E8/F8,"")</f>
        <v>0.3333333333</v>
      </c>
      <c r="H8" s="29" t="inlineStr">
        <is>
          <t>Preço sobe de 8,90 para 9,90 (FC 37,1% -&gt; 33,3%). Alergénios: acrescentado GLÚTEN e LEITE (o puré leva leite; a massa leva farinha).</t>
        </is>
      </c>
    </row>
    <row r="10">
      <c r="A10" s="15" t="inlineStr">
        <is>
          <t>Moelas Estufadas</t>
        </is>
      </c>
      <c r="B10" s="21" t="inlineStr">
        <is>
          <t>Moelas estufadas</t>
        </is>
      </c>
      <c r="C10" s="22" t="n">
        <v>1</v>
      </c>
      <c r="D10" s="23" t="n">
        <v>1.6</v>
      </c>
      <c r="E10" s="18">
        <f>C10*D10</f>
        <v>1.6</v>
      </c>
      <c r="F10" s="17" t="n"/>
      <c r="G10" s="17" t="n"/>
      <c r="H10" s="17" t="n"/>
    </row>
    <row r="11">
      <c r="A11" s="24" t="n"/>
      <c r="B11" s="25" t="inlineStr">
        <is>
          <t>TOTAL — Moelas Estufadas</t>
        </is>
      </c>
      <c r="C11" s="24" t="n"/>
      <c r="D11" s="24" t="n"/>
      <c r="E11" s="26">
        <f>SUM(E10:E10)</f>
        <v>1.6</v>
      </c>
      <c r="F11" s="27" t="n">
        <v>11.9</v>
      </c>
      <c r="G11" s="28">
        <f>IFERROR(E11/F11,"")</f>
        <v>0.1344537815</v>
      </c>
      <c r="H11" s="29" t="inlineStr">
        <is>
          <t>FC aparente 13,4% — custo de 1,60 €/porção não tem gramagem definida. Definir a porção em gramas antes de confiar neste número.</t>
        </is>
      </c>
    </row>
    <row r="13">
      <c r="A13" s="15" t="inlineStr">
        <is>
          <t>Rissóis de Gambas (5 un)</t>
        </is>
      </c>
      <c r="B13" s="21" t="inlineStr">
        <is>
          <t>Rissol de gambas</t>
        </is>
      </c>
      <c r="C13" s="22" t="n">
        <v>5</v>
      </c>
      <c r="D13" s="23" t="n">
        <v>0.45</v>
      </c>
      <c r="E13" s="18">
        <f>C13*D13</f>
        <v>2.25</v>
      </c>
      <c r="F13" s="17" t="n"/>
      <c r="G13" s="17" t="n"/>
      <c r="H13" s="17" t="n"/>
    </row>
    <row r="14">
      <c r="A14" s="24" t="n"/>
      <c r="B14" s="25" t="inlineStr">
        <is>
          <t>TOTAL — Rissóis de Gambas (5 un)</t>
        </is>
      </c>
      <c r="C14" s="24" t="n"/>
      <c r="D14" s="24" t="n"/>
      <c r="E14" s="26">
        <f>SUM(E13:E13)</f>
        <v>2.25</v>
      </c>
      <c r="F14" s="27" t="n">
        <v>6.9</v>
      </c>
      <c r="G14" s="28">
        <f>IFERROR(E14/F14,"")</f>
        <v>0.3260869565</v>
      </c>
      <c r="H14" s="29" t="inlineStr">
        <is>
          <t>Dose reduzida de 6 para 5 un a preço igual (FC 39,1% -&gt; 32,6%). Alternativa: manter 6 un e subir para 8,50 €.</t>
        </is>
      </c>
    </row>
    <row r="16">
      <c r="A16" s="15" t="inlineStr">
        <is>
          <t>Pica-Pau</t>
        </is>
      </c>
      <c r="B16" s="16" t="inlineStr">
        <is>
          <t>— sem ficha técnica —</t>
        </is>
      </c>
      <c r="C16" s="17" t="n"/>
      <c r="D16" s="17" t="n"/>
      <c r="E16" s="17" t="n"/>
      <c r="F16" s="18" t="n">
        <v>14.9</v>
      </c>
      <c r="G16" s="19" t="inlineStr">
        <is>
          <t>n/d</t>
        </is>
      </c>
      <c r="H16" s="20" t="inlineStr">
        <is>
          <t>Sem ficha técnica em sistema — não custeável. Prioridade de custeio.</t>
        </is>
      </c>
    </row>
    <row r="17">
      <c r="A17" s="15" t="inlineStr">
        <is>
          <t>Batatas Fritas com Cheddar e Bacon</t>
        </is>
      </c>
      <c r="B17" s="21" t="inlineStr">
        <is>
          <t>Batata</t>
        </is>
      </c>
      <c r="C17" s="22" t="n">
        <v>0.25</v>
      </c>
      <c r="D17" s="23" t="n">
        <v>0.9</v>
      </c>
      <c r="E17" s="18">
        <f>C17*D17</f>
        <v>0.225</v>
      </c>
      <c r="F17" s="17" t="n"/>
      <c r="G17" s="17" t="n"/>
      <c r="H17" s="17" t="n"/>
    </row>
    <row r="18">
      <c r="A18" s="17" t="n"/>
      <c r="B18" s="21" t="inlineStr">
        <is>
          <t>Cheddar</t>
        </is>
      </c>
      <c r="C18" s="22" t="n">
        <v>1</v>
      </c>
      <c r="D18" s="23" t="n">
        <v>0.45</v>
      </c>
      <c r="E18" s="18">
        <f>C18*D18</f>
        <v>0.45</v>
      </c>
      <c r="F18" s="17" t="n"/>
      <c r="G18" s="17" t="n"/>
      <c r="H18" s="17" t="n"/>
    </row>
    <row r="19">
      <c r="A19" s="17" t="n"/>
      <c r="B19" s="21" t="inlineStr">
        <is>
          <t>Bacon</t>
        </is>
      </c>
      <c r="C19" s="22" t="n">
        <v>1</v>
      </c>
      <c r="D19" s="23" t="n">
        <v>0.55</v>
      </c>
      <c r="E19" s="18">
        <f>C19*D19</f>
        <v>0.55</v>
      </c>
      <c r="F19" s="17" t="n"/>
      <c r="G19" s="17" t="n"/>
      <c r="H19" s="17" t="n"/>
    </row>
    <row r="20">
      <c r="A20" s="24" t="n"/>
      <c r="B20" s="25" t="inlineStr">
        <is>
          <t>TOTAL — Batatas Fritas com Cheddar e Bacon</t>
        </is>
      </c>
      <c r="C20" s="24" t="n"/>
      <c r="D20" s="24" t="n"/>
      <c r="E20" s="26">
        <f>SUM(E17:E19)</f>
        <v>1.225</v>
      </c>
      <c r="F20" s="27" t="n">
        <v>9.9</v>
      </c>
      <c r="G20" s="28">
        <f>IFERROR(E20/F20,"")</f>
        <v>0.1237373737</v>
      </c>
      <c r="H20" s="29" t="inlineStr">
        <is>
          <t>FC aparente 12,4% — porção de cheddar e bacon sem gramagem definida. Rever.</t>
        </is>
      </c>
    </row>
    <row r="22">
      <c r="A22" s="15" t="inlineStr">
        <is>
          <t>Bolinhas de Feijoada (5 un)</t>
        </is>
      </c>
      <c r="B22" s="21" t="inlineStr">
        <is>
          <t>Bolinha de feijoada</t>
        </is>
      </c>
      <c r="C22" s="22" t="n">
        <v>5</v>
      </c>
      <c r="D22" s="23" t="n">
        <v>0.45</v>
      </c>
      <c r="E22" s="18">
        <f>C22*D22</f>
        <v>2.25</v>
      </c>
      <c r="F22" s="17" t="n"/>
      <c r="G22" s="17" t="n"/>
      <c r="H22" s="17" t="n"/>
    </row>
    <row r="23">
      <c r="A23" s="24" t="n"/>
      <c r="B23" s="25" t="inlineStr">
        <is>
          <t>TOTAL — Bolinhas de Feijoada (5 un)</t>
        </is>
      </c>
      <c r="C23" s="24" t="n"/>
      <c r="D23" s="24" t="n"/>
      <c r="E23" s="26">
        <f>SUM(E22:E22)</f>
        <v>2.25</v>
      </c>
      <c r="F23" s="27" t="n">
        <v>6.9</v>
      </c>
      <c r="G23" s="28">
        <f>IFERROR(E23/F23,"")</f>
        <v>0.3260869565</v>
      </c>
      <c r="H23" s="29" t="inlineStr">
        <is>
          <t>CRÍTICO: a 8 un / 5,90 € o food cost era 61%. Vendíamos a perder. Corrigido para 5 un / 6,90 € (32,6%).</t>
        </is>
      </c>
    </row>
    <row r="25">
      <c r="A25" s="15" t="inlineStr">
        <is>
          <t>Bolinhas de Mandioca com Carne e Queijo (5 un)</t>
        </is>
      </c>
      <c r="B25" s="21" t="inlineStr">
        <is>
          <t>Bolinha de mandioca</t>
        </is>
      </c>
      <c r="C25" s="22" t="n">
        <v>5</v>
      </c>
      <c r="D25" s="23" t="n">
        <v>0.45</v>
      </c>
      <c r="E25" s="18">
        <f>C25*D25</f>
        <v>2.25</v>
      </c>
      <c r="F25" s="17" t="n"/>
      <c r="G25" s="17" t="n"/>
      <c r="H25" s="17" t="n"/>
    </row>
    <row r="26">
      <c r="A26" s="24" t="n"/>
      <c r="B26" s="25" t="inlineStr">
        <is>
          <t>TOTAL — Bolinhas de Mandioca com Carne e Queijo (5 un)</t>
        </is>
      </c>
      <c r="C26" s="24" t="n"/>
      <c r="D26" s="24" t="n"/>
      <c r="E26" s="26">
        <f>SUM(E25:E25)</f>
        <v>2.25</v>
      </c>
      <c r="F26" s="27" t="n">
        <v>6.9</v>
      </c>
      <c r="G26" s="28">
        <f>IFERROR(E26/F26,"")</f>
        <v>0.3260869565</v>
      </c>
      <c r="H26" s="29" t="inlineStr">
        <is>
          <t>CRÍTICO: a 8 un o food cost era 52,2%. Dose reduzida para 5 un a preço igual (32,6%).</t>
        </is>
      </c>
    </row>
    <row r="28">
      <c r="A28" s="15" t="inlineStr">
        <is>
          <t>Calabresa Acebolada</t>
        </is>
      </c>
      <c r="B28" s="21" t="inlineStr">
        <is>
          <t>Calabresa</t>
        </is>
      </c>
      <c r="C28" s="22" t="n">
        <v>1</v>
      </c>
      <c r="D28" s="23" t="n">
        <v>0.7</v>
      </c>
      <c r="E28" s="18">
        <f>C28*D28</f>
        <v>0.7</v>
      </c>
      <c r="F28" s="17" t="n"/>
      <c r="G28" s="17" t="n"/>
      <c r="H28" s="17" t="n"/>
    </row>
    <row r="29">
      <c r="A29" s="17" t="n"/>
      <c r="B29" s="21" t="inlineStr">
        <is>
          <t>Cebola</t>
        </is>
      </c>
      <c r="C29" s="22" t="n">
        <v>1</v>
      </c>
      <c r="D29" s="23" t="n">
        <v>0.18</v>
      </c>
      <c r="E29" s="18">
        <f>C29*D29</f>
        <v>0.18</v>
      </c>
      <c r="F29" s="17" t="n"/>
      <c r="G29" s="17" t="n"/>
      <c r="H29" s="17" t="n"/>
    </row>
    <row r="30">
      <c r="A30" s="24" t="n"/>
      <c r="B30" s="25" t="inlineStr">
        <is>
          <t>TOTAL — Calabresa Acebolada</t>
        </is>
      </c>
      <c r="C30" s="24" t="n"/>
      <c r="D30" s="24" t="n"/>
      <c r="E30" s="26">
        <f>SUM(E28:E29)</f>
        <v>0.88</v>
      </c>
      <c r="F30" s="27" t="n">
        <v>12.9</v>
      </c>
      <c r="G30" s="30">
        <f>IFERROR(E30/F30,"")</f>
        <v>0.0682170543</v>
      </c>
      <c r="H30" s="29" t="inlineStr">
        <is>
          <t>BLOQUEADO: alergénio por confirmar com o fornecedor da linguiça. Não publicar. FC aparente 6,8% — porção sem gramagem, custo irrealista.</t>
        </is>
      </c>
    </row>
    <row r="32">
      <c r="A32" s="15" t="inlineStr">
        <is>
          <t>Pastéis de Vento (Sortidos) (6 un, 2 recheios)</t>
        </is>
      </c>
      <c r="B32" s="21" t="inlineStr">
        <is>
          <t>Pastel de vento</t>
        </is>
      </c>
      <c r="C32" s="22" t="n">
        <v>6</v>
      </c>
      <c r="D32" s="23" t="n">
        <v>0.4</v>
      </c>
      <c r="E32" s="18">
        <f>C32*D32</f>
        <v>2.4</v>
      </c>
      <c r="F32" s="17" t="n"/>
      <c r="G32" s="17" t="n"/>
      <c r="H32" s="17" t="n"/>
    </row>
    <row r="33">
      <c r="A33" s="24" t="n"/>
      <c r="B33" s="25" t="inlineStr">
        <is>
          <t>TOTAL — Pastéis de Vento (Sortidos) (6 un, 2 recheios)</t>
        </is>
      </c>
      <c r="C33" s="24" t="n"/>
      <c r="D33" s="24" t="n"/>
      <c r="E33" s="26">
        <f>SUM(E32:E32)</f>
        <v>2.4</v>
      </c>
      <c r="F33" s="27" t="n">
        <v>7.9</v>
      </c>
      <c r="G33" s="28">
        <f>IFERROR(E33/F33,"")</f>
        <v>0.3037974684</v>
      </c>
      <c r="H33" s="29" t="inlineStr">
        <is>
          <t>CRÍTICO: a 9 un o food cost era 45,6%. Reduzido para 6 un e 2 recheios (queijo + carne) — 30,4%. O recheio de camarão sai: era a terceira mise-en-place para o petisco de pior rácio trabalho/receita.</t>
        </is>
      </c>
    </row>
    <row r="35">
      <c r="A35" s="15" t="inlineStr">
        <is>
          <t>Coxinha de Frango (5 un)</t>
        </is>
      </c>
      <c r="B35" s="21" t="inlineStr">
        <is>
          <t>Coxinha de frango</t>
        </is>
      </c>
      <c r="C35" s="22" t="n">
        <v>5</v>
      </c>
      <c r="D35" s="23" t="n">
        <v>0.5</v>
      </c>
      <c r="E35" s="18">
        <f>C35*D35</f>
        <v>2.5</v>
      </c>
      <c r="F35" s="17" t="n"/>
      <c r="G35" s="17" t="n"/>
      <c r="H35" s="17" t="n"/>
    </row>
    <row r="36">
      <c r="A36" s="24" t="n"/>
      <c r="B36" s="25" t="inlineStr">
        <is>
          <t>TOTAL — Coxinha de Frango (5 un)</t>
        </is>
      </c>
      <c r="C36" s="24" t="n"/>
      <c r="D36" s="24" t="n"/>
      <c r="E36" s="26">
        <f>SUM(E35:E35)</f>
        <v>2.5</v>
      </c>
      <c r="F36" s="27" t="n">
        <v>7.5</v>
      </c>
      <c r="G36" s="28">
        <f>IFERROR(E36/F36,"")</f>
        <v>0.3333333333</v>
      </c>
      <c r="H36" s="29" t="inlineStr">
        <is>
          <t>Validado: FC 33,3%. Asterisco de 'preço a confirmar' pode sair.</t>
        </is>
      </c>
    </row>
    <row r="38">
      <c r="A38" s="5" t="inlineStr">
        <is>
          <t>PEQUENO-ALMOÇO</t>
        </is>
      </c>
      <c r="B38" s="14" t="n"/>
      <c r="C38" s="14" t="n"/>
      <c r="D38" s="14" t="n"/>
      <c r="E38" s="14" t="n"/>
      <c r="F38" s="14" t="n"/>
      <c r="G38" s="14" t="n"/>
      <c r="H38" s="14" t="n"/>
    </row>
    <row r="39">
      <c r="A39" s="15" t="inlineStr">
        <is>
          <t>Café Expresso</t>
        </is>
      </c>
      <c r="B39" s="21" t="inlineStr">
        <is>
          <t>Café moído</t>
        </is>
      </c>
      <c r="C39" s="22" t="n">
        <v>1</v>
      </c>
      <c r="D39" s="23" t="n">
        <v>0.12</v>
      </c>
      <c r="E39" s="18">
        <f>C39*D39</f>
        <v>0.12</v>
      </c>
      <c r="F39" s="17" t="n"/>
      <c r="G39" s="17" t="n"/>
      <c r="H39" s="17" t="n"/>
    </row>
    <row r="40">
      <c r="A40" s="24" t="n"/>
      <c r="B40" s="25" t="inlineStr">
        <is>
          <t>TOTAL — Café Expresso</t>
        </is>
      </c>
      <c r="C40" s="24" t="n"/>
      <c r="D40" s="24" t="n"/>
      <c r="E40" s="26">
        <f>SUM(E39:E39)</f>
        <v>0.12</v>
      </c>
      <c r="F40" s="27" t="n">
        <v>1.2</v>
      </c>
      <c r="G40" s="30">
        <f>IFERROR(E40/F40,"")</f>
        <v>0.1</v>
      </c>
      <c r="H40" s="29" t="inlineStr"/>
    </row>
    <row r="42">
      <c r="A42" s="15" t="inlineStr">
        <is>
          <t>Café Macchiato</t>
        </is>
      </c>
      <c r="B42" s="21" t="inlineStr">
        <is>
          <t>Café moído</t>
        </is>
      </c>
      <c r="C42" s="22" t="n">
        <v>1</v>
      </c>
      <c r="D42" s="23" t="n">
        <v>0.12</v>
      </c>
      <c r="E42" s="18">
        <f>C42*D42</f>
        <v>0.12</v>
      </c>
      <c r="F42" s="17" t="n"/>
      <c r="G42" s="17" t="n"/>
      <c r="H42" s="17" t="n"/>
    </row>
    <row r="43">
      <c r="A43" s="17" t="n"/>
      <c r="B43" s="21" t="inlineStr">
        <is>
          <t>Leite</t>
        </is>
      </c>
      <c r="C43" s="22" t="n">
        <v>0.03</v>
      </c>
      <c r="D43" s="23" t="n">
        <v>0.85</v>
      </c>
      <c r="E43" s="18">
        <f>C43*D43</f>
        <v>0.0255</v>
      </c>
      <c r="F43" s="17" t="n"/>
      <c r="G43" s="17" t="n"/>
      <c r="H43" s="17" t="n"/>
    </row>
    <row r="44">
      <c r="A44" s="24" t="n"/>
      <c r="B44" s="25" t="inlineStr">
        <is>
          <t>TOTAL — Café Macchiato</t>
        </is>
      </c>
      <c r="C44" s="24" t="n"/>
      <c r="D44" s="24" t="n"/>
      <c r="E44" s="26">
        <f>SUM(E42:E43)</f>
        <v>0.1455</v>
      </c>
      <c r="F44" s="27" t="n">
        <v>1.4</v>
      </c>
      <c r="G44" s="30">
        <f>IFERROR(E44/F44,"")</f>
        <v>0.1039285714</v>
      </c>
      <c r="H44" s="29" t="inlineStr"/>
    </row>
    <row r="46">
      <c r="A46" s="15" t="inlineStr">
        <is>
          <t>Americano</t>
        </is>
      </c>
      <c r="B46" s="21" t="inlineStr">
        <is>
          <t>Café moído</t>
        </is>
      </c>
      <c r="C46" s="22" t="n">
        <v>1</v>
      </c>
      <c r="D46" s="23" t="n">
        <v>0.12</v>
      </c>
      <c r="E46" s="18">
        <f>C46*D46</f>
        <v>0.12</v>
      </c>
      <c r="F46" s="17" t="n"/>
      <c r="G46" s="17" t="n"/>
      <c r="H46" s="17" t="n"/>
    </row>
    <row r="47">
      <c r="A47" s="24" t="n"/>
      <c r="B47" s="25" t="inlineStr">
        <is>
          <t>TOTAL — Americano</t>
        </is>
      </c>
      <c r="C47" s="24" t="n"/>
      <c r="D47" s="24" t="n"/>
      <c r="E47" s="26">
        <f>SUM(E46:E46)</f>
        <v>0.12</v>
      </c>
      <c r="F47" s="27" t="n">
        <v>1.5</v>
      </c>
      <c r="G47" s="30">
        <f>IFERROR(E47/F47,"")</f>
        <v>0.08</v>
      </c>
      <c r="H47" s="29" t="inlineStr"/>
    </row>
    <row r="49">
      <c r="A49" s="15" t="inlineStr">
        <is>
          <t>Cappuccino</t>
        </is>
      </c>
      <c r="B49" s="21" t="inlineStr">
        <is>
          <t>Café moído</t>
        </is>
      </c>
      <c r="C49" s="22" t="n">
        <v>1</v>
      </c>
      <c r="D49" s="23" t="n">
        <v>0.12</v>
      </c>
      <c r="E49" s="18">
        <f>C49*D49</f>
        <v>0.12</v>
      </c>
      <c r="F49" s="17" t="n"/>
      <c r="G49" s="17" t="n"/>
      <c r="H49" s="17" t="n"/>
    </row>
    <row r="50">
      <c r="A50" s="17" t="n"/>
      <c r="B50" s="21" t="inlineStr">
        <is>
          <t>Leite</t>
        </is>
      </c>
      <c r="C50" s="22" t="n">
        <v>0.1</v>
      </c>
      <c r="D50" s="23" t="n">
        <v>0.85</v>
      </c>
      <c r="E50" s="18">
        <f>C50*D50</f>
        <v>0.085</v>
      </c>
      <c r="F50" s="17" t="n"/>
      <c r="G50" s="17" t="n"/>
      <c r="H50" s="17" t="n"/>
    </row>
    <row r="51">
      <c r="A51" s="24" t="n"/>
      <c r="B51" s="25" t="inlineStr">
        <is>
          <t>TOTAL — Cappuccino</t>
        </is>
      </c>
      <c r="C51" s="24" t="n"/>
      <c r="D51" s="24" t="n"/>
      <c r="E51" s="26">
        <f>SUM(E49:E50)</f>
        <v>0.205</v>
      </c>
      <c r="F51" s="27" t="n">
        <v>1.9</v>
      </c>
      <c r="G51" s="30">
        <f>IFERROR(E51/F51,"")</f>
        <v>0.1078947368</v>
      </c>
      <c r="H51" s="29" t="inlineStr"/>
    </row>
    <row r="53">
      <c r="A53" s="15" t="inlineStr">
        <is>
          <t>Galão</t>
        </is>
      </c>
      <c r="B53" s="21" t="inlineStr">
        <is>
          <t>Café moído</t>
        </is>
      </c>
      <c r="C53" s="22" t="n">
        <v>1</v>
      </c>
      <c r="D53" s="23" t="n">
        <v>0.12</v>
      </c>
      <c r="E53" s="18">
        <f>C53*D53</f>
        <v>0.12</v>
      </c>
      <c r="F53" s="17" t="n"/>
      <c r="G53" s="17" t="n"/>
      <c r="H53" s="17" t="n"/>
    </row>
    <row r="54">
      <c r="A54" s="17" t="n"/>
      <c r="B54" s="21" t="inlineStr">
        <is>
          <t>Leite</t>
        </is>
      </c>
      <c r="C54" s="22" t="n">
        <v>0.15</v>
      </c>
      <c r="D54" s="23" t="n">
        <v>0.85</v>
      </c>
      <c r="E54" s="18">
        <f>C54*D54</f>
        <v>0.1275</v>
      </c>
      <c r="F54" s="17" t="n"/>
      <c r="G54" s="17" t="n"/>
      <c r="H54" s="17" t="n"/>
    </row>
    <row r="55">
      <c r="A55" s="24" t="n"/>
      <c r="B55" s="25" t="inlineStr">
        <is>
          <t>TOTAL — Galão</t>
        </is>
      </c>
      <c r="C55" s="24" t="n"/>
      <c r="D55" s="24" t="n"/>
      <c r="E55" s="26">
        <f>SUM(E53:E54)</f>
        <v>0.2475</v>
      </c>
      <c r="F55" s="27" t="n">
        <v>1.8</v>
      </c>
      <c r="G55" s="28">
        <f>IFERROR(E55/F55,"")</f>
        <v>0.1375</v>
      </c>
      <c r="H55" s="29" t="inlineStr"/>
    </row>
    <row r="57">
      <c r="A57" s="15" t="inlineStr">
        <is>
          <t>Meia de Leite</t>
        </is>
      </c>
      <c r="B57" s="21" t="inlineStr">
        <is>
          <t>Café moído</t>
        </is>
      </c>
      <c r="C57" s="22" t="n">
        <v>1</v>
      </c>
      <c r="D57" s="23" t="n">
        <v>0.12</v>
      </c>
      <c r="E57" s="18">
        <f>C57*D57</f>
        <v>0.12</v>
      </c>
      <c r="F57" s="17" t="n"/>
      <c r="G57" s="17" t="n"/>
      <c r="H57" s="17" t="n"/>
    </row>
    <row r="58">
      <c r="A58" s="17" t="n"/>
      <c r="B58" s="21" t="inlineStr">
        <is>
          <t>Leite</t>
        </is>
      </c>
      <c r="C58" s="22" t="n">
        <v>0.15</v>
      </c>
      <c r="D58" s="23" t="n">
        <v>0.85</v>
      </c>
      <c r="E58" s="18">
        <f>C58*D58</f>
        <v>0.1275</v>
      </c>
      <c r="F58" s="17" t="n"/>
      <c r="G58" s="17" t="n"/>
      <c r="H58" s="17" t="n"/>
    </row>
    <row r="59">
      <c r="A59" s="24" t="n"/>
      <c r="B59" s="25" t="inlineStr">
        <is>
          <t>TOTAL — Meia de Leite</t>
        </is>
      </c>
      <c r="C59" s="24" t="n"/>
      <c r="D59" s="24" t="n"/>
      <c r="E59" s="26">
        <f>SUM(E57:E58)</f>
        <v>0.2475</v>
      </c>
      <c r="F59" s="27" t="n">
        <v>1.6</v>
      </c>
      <c r="G59" s="28">
        <f>IFERROR(E59/F59,"")</f>
        <v>0.1546875</v>
      </c>
      <c r="H59" s="29" t="inlineStr"/>
    </row>
    <row r="61">
      <c r="A61" s="15" t="inlineStr">
        <is>
          <t>Chá</t>
        </is>
      </c>
      <c r="B61" s="21" t="inlineStr">
        <is>
          <t>Saqueta de chá</t>
        </is>
      </c>
      <c r="C61" s="22" t="n">
        <v>1</v>
      </c>
      <c r="D61" s="23" t="n">
        <v>0.08</v>
      </c>
      <c r="E61" s="18">
        <f>C61*D61</f>
        <v>0.08</v>
      </c>
      <c r="F61" s="17" t="n"/>
      <c r="G61" s="17" t="n"/>
      <c r="H61" s="17" t="n"/>
    </row>
    <row r="62">
      <c r="A62" s="24" t="n"/>
      <c r="B62" s="25" t="inlineStr">
        <is>
          <t>TOTAL — Chá</t>
        </is>
      </c>
      <c r="C62" s="24" t="n"/>
      <c r="D62" s="24" t="n"/>
      <c r="E62" s="26">
        <f>SUM(E61:E61)</f>
        <v>0.08</v>
      </c>
      <c r="F62" s="27" t="n">
        <v>1.5</v>
      </c>
      <c r="G62" s="30">
        <f>IFERROR(E62/F62,"")</f>
        <v>0.0533333333</v>
      </c>
      <c r="H62" s="29" t="inlineStr"/>
    </row>
    <row r="64">
      <c r="A64" s="15" t="inlineStr">
        <is>
          <t>Café Coado (brasileiro)</t>
        </is>
      </c>
      <c r="B64" s="21" t="inlineStr">
        <is>
          <t>Café moído</t>
        </is>
      </c>
      <c r="C64" s="22" t="n">
        <v>1</v>
      </c>
      <c r="D64" s="23" t="n">
        <v>0.12</v>
      </c>
      <c r="E64" s="18">
        <f>C64*D64</f>
        <v>0.12</v>
      </c>
      <c r="F64" s="17" t="n"/>
      <c r="G64" s="17" t="n"/>
      <c r="H64" s="17" t="n"/>
    </row>
    <row r="65">
      <c r="A65" s="24" t="n"/>
      <c r="B65" s="25" t="inlineStr">
        <is>
          <t>TOTAL — Café Coado (brasileiro)</t>
        </is>
      </c>
      <c r="C65" s="24" t="n"/>
      <c r="D65" s="24" t="n"/>
      <c r="E65" s="26">
        <f>SUM(E64:E64)</f>
        <v>0.12</v>
      </c>
      <c r="F65" s="27" t="n">
        <v>2</v>
      </c>
      <c r="G65" s="30">
        <f>IFERROR(E65/F65,"")</f>
        <v>0.06</v>
      </c>
      <c r="H65" s="29" t="inlineStr"/>
    </row>
    <row r="67">
      <c r="A67" s="15" t="inlineStr">
        <is>
          <t>Sumo de Laranja Natural</t>
        </is>
      </c>
      <c r="B67" s="21" t="inlineStr">
        <is>
          <t>Laranja</t>
        </is>
      </c>
      <c r="C67" s="22" t="n">
        <v>3</v>
      </c>
      <c r="D67" s="23" t="n">
        <v>0.35</v>
      </c>
      <c r="E67" s="18">
        <f>C67*D67</f>
        <v>1.05</v>
      </c>
      <c r="F67" s="17" t="n"/>
      <c r="G67" s="17" t="n"/>
      <c r="H67" s="17" t="n"/>
    </row>
    <row r="68">
      <c r="A68" s="24" t="n"/>
      <c r="B68" s="25" t="inlineStr">
        <is>
          <t>TOTAL — Sumo de Laranja Natural</t>
        </is>
      </c>
      <c r="C68" s="24" t="n"/>
      <c r="D68" s="24" t="n"/>
      <c r="E68" s="26">
        <f>SUM(E67:E67)</f>
        <v>1.05</v>
      </c>
      <c r="F68" s="27" t="n">
        <v>3</v>
      </c>
      <c r="G68" s="31">
        <f>IFERROR(E68/F68,"")</f>
        <v>0.35</v>
      </c>
      <c r="H68" s="29" t="inlineStr"/>
    </row>
    <row r="70">
      <c r="A70" s="15" t="inlineStr">
        <is>
          <t>Sumo de Manga/Maracujá Natural</t>
        </is>
      </c>
      <c r="B70" s="21" t="inlineStr">
        <is>
          <t>Polpa manga/maracujá</t>
        </is>
      </c>
      <c r="C70" s="22" t="n">
        <v>1</v>
      </c>
      <c r="D70" s="23" t="n">
        <v>0.55</v>
      </c>
      <c r="E70" s="18">
        <f>C70*D70</f>
        <v>0.55</v>
      </c>
      <c r="F70" s="17" t="n"/>
      <c r="G70" s="17" t="n"/>
      <c r="H70" s="17" t="n"/>
    </row>
    <row r="71">
      <c r="A71" s="24" t="n"/>
      <c r="B71" s="25" t="inlineStr">
        <is>
          <t>TOTAL — Sumo de Manga/Maracujá Natural</t>
        </is>
      </c>
      <c r="C71" s="24" t="n"/>
      <c r="D71" s="24" t="n"/>
      <c r="E71" s="26">
        <f>SUM(E70:E70)</f>
        <v>0.55</v>
      </c>
      <c r="F71" s="27" t="n">
        <v>3.5</v>
      </c>
      <c r="G71" s="28">
        <f>IFERROR(E71/F71,"")</f>
        <v>0.1571428571</v>
      </c>
      <c r="H71" s="29" t="inlineStr"/>
    </row>
    <row r="73">
      <c r="A73" s="15" t="inlineStr">
        <is>
          <t>Tosta Simples</t>
        </is>
      </c>
      <c r="B73" s="21" t="inlineStr">
        <is>
          <t>Pão de forma</t>
        </is>
      </c>
      <c r="C73" s="22" t="n">
        <v>2</v>
      </c>
      <c r="D73" s="23" t="n">
        <v>0.08</v>
      </c>
      <c r="E73" s="18">
        <f>C73*D73</f>
        <v>0.16</v>
      </c>
      <c r="F73" s="17" t="n"/>
      <c r="G73" s="17" t="n"/>
      <c r="H73" s="17" t="n"/>
    </row>
    <row r="74">
      <c r="A74" s="17" t="n"/>
      <c r="B74" s="21" t="inlineStr">
        <is>
          <t>Manteiga</t>
        </is>
      </c>
      <c r="C74" s="22" t="n">
        <v>1</v>
      </c>
      <c r="D74" s="23" t="n">
        <v>0.12</v>
      </c>
      <c r="E74" s="18">
        <f>C74*D74</f>
        <v>0.12</v>
      </c>
      <c r="F74" s="17" t="n"/>
      <c r="G74" s="17" t="n"/>
      <c r="H74" s="17" t="n"/>
    </row>
    <row r="75">
      <c r="A75" s="24" t="n"/>
      <c r="B75" s="25" t="inlineStr">
        <is>
          <t>TOTAL — Tosta Simples</t>
        </is>
      </c>
      <c r="C75" s="24" t="n"/>
      <c r="D75" s="24" t="n"/>
      <c r="E75" s="26">
        <f>SUM(E73:E74)</f>
        <v>0.28</v>
      </c>
      <c r="F75" s="27" t="n">
        <v>2</v>
      </c>
      <c r="G75" s="28">
        <f>IFERROR(E75/F75,"")</f>
        <v>0.14</v>
      </c>
      <c r="H75" s="29" t="inlineStr"/>
    </row>
    <row r="77">
      <c r="A77" s="15" t="inlineStr">
        <is>
          <t>Tosta Mista</t>
        </is>
      </c>
      <c r="B77" s="21" t="inlineStr">
        <is>
          <t>Pão de forma</t>
        </is>
      </c>
      <c r="C77" s="22" t="n">
        <v>2</v>
      </c>
      <c r="D77" s="23" t="n">
        <v>0.08</v>
      </c>
      <c r="E77" s="18">
        <f>C77*D77</f>
        <v>0.16</v>
      </c>
      <c r="F77" s="17" t="n"/>
      <c r="G77" s="17" t="n"/>
      <c r="H77" s="17" t="n"/>
    </row>
    <row r="78">
      <c r="A78" s="17" t="n"/>
      <c r="B78" s="21" t="inlineStr">
        <is>
          <t>Manteiga</t>
        </is>
      </c>
      <c r="C78" s="22" t="n">
        <v>1</v>
      </c>
      <c r="D78" s="23" t="n">
        <v>0.12</v>
      </c>
      <c r="E78" s="18">
        <f>C78*D78</f>
        <v>0.12</v>
      </c>
      <c r="F78" s="17" t="n"/>
      <c r="G78" s="17" t="n"/>
      <c r="H78" s="17" t="n"/>
    </row>
    <row r="79">
      <c r="A79" s="17" t="n"/>
      <c r="B79" s="21" t="inlineStr">
        <is>
          <t>Queijo</t>
        </is>
      </c>
      <c r="C79" s="22" t="n">
        <v>1</v>
      </c>
      <c r="D79" s="23" t="n">
        <v>0.2</v>
      </c>
      <c r="E79" s="18">
        <f>C79*D79</f>
        <v>0.2</v>
      </c>
      <c r="F79" s="17" t="n"/>
      <c r="G79" s="17" t="n"/>
      <c r="H79" s="17" t="n"/>
    </row>
    <row r="80">
      <c r="A80" s="17" t="n"/>
      <c r="B80" s="21" t="inlineStr">
        <is>
          <t>Fiambre</t>
        </is>
      </c>
      <c r="C80" s="22" t="n">
        <v>1</v>
      </c>
      <c r="D80" s="23" t="n">
        <v>0.15</v>
      </c>
      <c r="E80" s="18">
        <f>C80*D80</f>
        <v>0.15</v>
      </c>
      <c r="F80" s="17" t="n"/>
      <c r="G80" s="17" t="n"/>
      <c r="H80" s="17" t="n"/>
    </row>
    <row r="81">
      <c r="A81" s="24" t="n"/>
      <c r="B81" s="25" t="inlineStr">
        <is>
          <t>TOTAL — Tosta Mista</t>
        </is>
      </c>
      <c r="C81" s="24" t="n"/>
      <c r="D81" s="24" t="n"/>
      <c r="E81" s="26">
        <f>SUM(E77:E80)</f>
        <v>0.63</v>
      </c>
      <c r="F81" s="27" t="n">
        <v>3.5</v>
      </c>
      <c r="G81" s="28">
        <f>IFERROR(E81/F81,"")</f>
        <v>0.18</v>
      </c>
      <c r="H81" s="29" t="inlineStr"/>
    </row>
    <row r="83">
      <c r="A83" s="15" t="inlineStr">
        <is>
          <t>Croissant Simples</t>
        </is>
      </c>
      <c r="B83" s="21" t="inlineStr">
        <is>
          <t>Croissant</t>
        </is>
      </c>
      <c r="C83" s="22" t="n">
        <v>1</v>
      </c>
      <c r="D83" s="23" t="n">
        <v>0.45</v>
      </c>
      <c r="E83" s="18">
        <f>C83*D83</f>
        <v>0.45</v>
      </c>
      <c r="F83" s="17" t="n"/>
      <c r="G83" s="17" t="n"/>
      <c r="H83" s="17" t="n"/>
    </row>
    <row r="84">
      <c r="A84" s="24" t="n"/>
      <c r="B84" s="25" t="inlineStr">
        <is>
          <t>TOTAL — Croissant Simples</t>
        </is>
      </c>
      <c r="C84" s="24" t="n"/>
      <c r="D84" s="24" t="n"/>
      <c r="E84" s="26">
        <f>SUM(E83:E83)</f>
        <v>0.45</v>
      </c>
      <c r="F84" s="27" t="n">
        <v>1.8</v>
      </c>
      <c r="G84" s="28">
        <f>IFERROR(E84/F84,"")</f>
        <v>0.25</v>
      </c>
      <c r="H84" s="29" t="inlineStr"/>
    </row>
    <row r="86">
      <c r="A86" s="15" t="inlineStr">
        <is>
          <t>Croissant Misto</t>
        </is>
      </c>
      <c r="B86" s="21" t="inlineStr">
        <is>
          <t>Croissant</t>
        </is>
      </c>
      <c r="C86" s="22" t="n">
        <v>1</v>
      </c>
      <c r="D86" s="23" t="n">
        <v>0.45</v>
      </c>
      <c r="E86" s="18">
        <f>C86*D86</f>
        <v>0.45</v>
      </c>
      <c r="F86" s="17" t="n"/>
      <c r="G86" s="17" t="n"/>
      <c r="H86" s="17" t="n"/>
    </row>
    <row r="87">
      <c r="A87" s="17" t="n"/>
      <c r="B87" s="21" t="inlineStr">
        <is>
          <t>Queijo</t>
        </is>
      </c>
      <c r="C87" s="22" t="n">
        <v>1</v>
      </c>
      <c r="D87" s="23" t="n">
        <v>0.2</v>
      </c>
      <c r="E87" s="18">
        <f>C87*D87</f>
        <v>0.2</v>
      </c>
      <c r="F87" s="17" t="n"/>
      <c r="G87" s="17" t="n"/>
      <c r="H87" s="17" t="n"/>
    </row>
    <row r="88">
      <c r="A88" s="17" t="n"/>
      <c r="B88" s="21" t="inlineStr">
        <is>
          <t>Fiambre</t>
        </is>
      </c>
      <c r="C88" s="22" t="n">
        <v>1</v>
      </c>
      <c r="D88" s="23" t="n">
        <v>0.15</v>
      </c>
      <c r="E88" s="18">
        <f>C88*D88</f>
        <v>0.15</v>
      </c>
      <c r="F88" s="17" t="n"/>
      <c r="G88" s="17" t="n"/>
      <c r="H88" s="17" t="n"/>
    </row>
    <row r="89">
      <c r="A89" s="24" t="n"/>
      <c r="B89" s="25" t="inlineStr">
        <is>
          <t>TOTAL — Croissant Misto</t>
        </is>
      </c>
      <c r="C89" s="24" t="n"/>
      <c r="D89" s="24" t="n"/>
      <c r="E89" s="26">
        <f>SUM(E86:E88)</f>
        <v>0.8</v>
      </c>
      <c r="F89" s="27" t="n">
        <v>3.2</v>
      </c>
      <c r="G89" s="28">
        <f>IFERROR(E89/F89,"")</f>
        <v>0.25</v>
      </c>
      <c r="H89" s="29" t="inlineStr"/>
    </row>
    <row r="91">
      <c r="A91" s="15" t="inlineStr">
        <is>
          <t>Pão de Queijo (unidade)</t>
        </is>
      </c>
      <c r="B91" s="21" t="inlineStr">
        <is>
          <t>Pão de queijo</t>
        </is>
      </c>
      <c r="C91" s="22" t="n">
        <v>1</v>
      </c>
      <c r="D91" s="23" t="n">
        <v>0.25</v>
      </c>
      <c r="E91" s="18">
        <f>C91*D91</f>
        <v>0.25</v>
      </c>
      <c r="F91" s="17" t="n"/>
      <c r="G91" s="17" t="n"/>
      <c r="H91" s="17" t="n"/>
    </row>
    <row r="92">
      <c r="A92" s="24" t="n"/>
      <c r="B92" s="25" t="inlineStr">
        <is>
          <t>TOTAL — Pão de Queijo (unidade)</t>
        </is>
      </c>
      <c r="C92" s="24" t="n"/>
      <c r="D92" s="24" t="n"/>
      <c r="E92" s="26">
        <f>SUM(E91:E91)</f>
        <v>0.25</v>
      </c>
      <c r="F92" s="27" t="n">
        <v>1.2</v>
      </c>
      <c r="G92" s="28">
        <f>IFERROR(E92/F92,"")</f>
        <v>0.2083333333</v>
      </c>
      <c r="H92" s="29" t="inlineStr"/>
    </row>
    <row r="94">
      <c r="A94" s="15" t="inlineStr">
        <is>
          <t>Pão de Queijo (trio)</t>
        </is>
      </c>
      <c r="B94" s="21" t="inlineStr">
        <is>
          <t>Pão de queijo</t>
        </is>
      </c>
      <c r="C94" s="22" t="n">
        <v>3</v>
      </c>
      <c r="D94" s="23" t="n">
        <v>0.25</v>
      </c>
      <c r="E94" s="18">
        <f>C94*D94</f>
        <v>0.75</v>
      </c>
      <c r="F94" s="17" t="n"/>
      <c r="G94" s="17" t="n"/>
      <c r="H94" s="17" t="n"/>
    </row>
    <row r="95">
      <c r="A95" s="24" t="n"/>
      <c r="B95" s="25" t="inlineStr">
        <is>
          <t>TOTAL — Pão de Queijo (trio)</t>
        </is>
      </c>
      <c r="C95" s="24" t="n"/>
      <c r="D95" s="24" t="n"/>
      <c r="E95" s="26">
        <f>SUM(E94:E94)</f>
        <v>0.75</v>
      </c>
      <c r="F95" s="27" t="n">
        <v>3</v>
      </c>
      <c r="G95" s="28">
        <f>IFERROR(E95/F95,"")</f>
        <v>0.25</v>
      </c>
      <c r="H95" s="29" t="inlineStr"/>
    </row>
    <row r="97">
      <c r="A97" s="15" t="inlineStr">
        <is>
          <t>Torrada de Broa c/ manteiga e queijo fresco</t>
        </is>
      </c>
      <c r="B97" s="21" t="inlineStr">
        <is>
          <t>Broa</t>
        </is>
      </c>
      <c r="C97" s="22" t="n">
        <v>2</v>
      </c>
      <c r="D97" s="23" t="n">
        <v>0.2</v>
      </c>
      <c r="E97" s="18">
        <f>C97*D97</f>
        <v>0.4</v>
      </c>
      <c r="F97" s="17" t="n"/>
      <c r="G97" s="17" t="n"/>
      <c r="H97" s="17" t="n"/>
    </row>
    <row r="98">
      <c r="A98" s="17" t="n"/>
      <c r="B98" s="21" t="inlineStr">
        <is>
          <t>Manteiga</t>
        </is>
      </c>
      <c r="C98" s="22" t="n">
        <v>1</v>
      </c>
      <c r="D98" s="23" t="n">
        <v>0.12</v>
      </c>
      <c r="E98" s="18">
        <f>C98*D98</f>
        <v>0.12</v>
      </c>
      <c r="F98" s="17" t="n"/>
      <c r="G98" s="17" t="n"/>
      <c r="H98" s="17" t="n"/>
    </row>
    <row r="99">
      <c r="A99" s="24" t="n"/>
      <c r="B99" s="25" t="inlineStr">
        <is>
          <t>TOTAL — Torrada de Broa c/ manteiga e queijo fresco</t>
        </is>
      </c>
      <c r="C99" s="24" t="n"/>
      <c r="D99" s="24" t="n"/>
      <c r="E99" s="26">
        <f>SUM(E97:E98)</f>
        <v>0.52</v>
      </c>
      <c r="F99" s="27" t="n">
        <v>3.8</v>
      </c>
      <c r="G99" s="28">
        <f>IFERROR(E99/F99,"")</f>
        <v>0.1368421053</v>
      </c>
      <c r="H99" s="29" t="inlineStr"/>
    </row>
    <row r="101">
      <c r="A101" s="15" t="inlineStr">
        <is>
          <t>Ovos Mexidos c/ coentros</t>
        </is>
      </c>
      <c r="B101" s="21" t="inlineStr">
        <is>
          <t>Ovos</t>
        </is>
      </c>
      <c r="C101" s="22" t="n">
        <v>2</v>
      </c>
      <c r="D101" s="23" t="n">
        <v>0.22</v>
      </c>
      <c r="E101" s="18">
        <f>C101*D101</f>
        <v>0.44</v>
      </c>
      <c r="F101" s="17" t="n"/>
      <c r="G101" s="17" t="n"/>
      <c r="H101" s="17" t="n"/>
    </row>
    <row r="102">
      <c r="A102" s="17" t="n"/>
      <c r="B102" s="21" t="inlineStr">
        <is>
          <t>Manteiga</t>
        </is>
      </c>
      <c r="C102" s="22" t="n">
        <v>1</v>
      </c>
      <c r="D102" s="23" t="n">
        <v>0.12</v>
      </c>
      <c r="E102" s="18">
        <f>C102*D102</f>
        <v>0.12</v>
      </c>
      <c r="F102" s="17" t="n"/>
      <c r="G102" s="17" t="n"/>
      <c r="H102" s="17" t="n"/>
    </row>
    <row r="103">
      <c r="A103" s="24" t="n"/>
      <c r="B103" s="25" t="inlineStr">
        <is>
          <t>TOTAL — Ovos Mexidos c/ coentros</t>
        </is>
      </c>
      <c r="C103" s="24" t="n"/>
      <c r="D103" s="24" t="n"/>
      <c r="E103" s="26">
        <f>SUM(E101:E102)</f>
        <v>0.56</v>
      </c>
      <c r="F103" s="27" t="n">
        <v>4</v>
      </c>
      <c r="G103" s="28">
        <f>IFERROR(E103/F103,"")</f>
        <v>0.14</v>
      </c>
      <c r="H103" s="29" t="inlineStr"/>
    </row>
    <row r="105">
      <c r="A105" s="15" t="inlineStr">
        <is>
          <t>Fruta Fresca da Época</t>
        </is>
      </c>
      <c r="B105" s="21" t="inlineStr">
        <is>
          <t>Fruta variada</t>
        </is>
      </c>
      <c r="C105" s="22" t="n">
        <v>1</v>
      </c>
      <c r="D105" s="23" t="n">
        <v>0.6</v>
      </c>
      <c r="E105" s="18">
        <f>C105*D105</f>
        <v>0.6</v>
      </c>
      <c r="F105" s="17" t="n"/>
      <c r="G105" s="17" t="n"/>
      <c r="H105" s="17" t="n"/>
    </row>
    <row r="106">
      <c r="A106" s="24" t="n"/>
      <c r="B106" s="25" t="inlineStr">
        <is>
          <t>TOTAL — Fruta Fresca da Época</t>
        </is>
      </c>
      <c r="C106" s="24" t="n"/>
      <c r="D106" s="24" t="n"/>
      <c r="E106" s="26">
        <f>SUM(E105:E105)</f>
        <v>0.6</v>
      </c>
      <c r="F106" s="27" t="n">
        <v>2.5</v>
      </c>
      <c r="G106" s="28">
        <f>IFERROR(E106/F106,"")</f>
        <v>0.24</v>
      </c>
      <c r="H106" s="29" t="inlineStr"/>
    </row>
    <row r="108">
      <c r="A108" s="15" t="inlineStr">
        <is>
          <t>Abacaxi com Hortelã</t>
        </is>
      </c>
      <c r="B108" s="21" t="inlineStr">
        <is>
          <t>Abacaxi</t>
        </is>
      </c>
      <c r="C108" s="22" t="n">
        <v>1</v>
      </c>
      <c r="D108" s="23" t="n">
        <v>0.45</v>
      </c>
      <c r="E108" s="18">
        <f>C108*D108</f>
        <v>0.45</v>
      </c>
      <c r="F108" s="17" t="n"/>
      <c r="G108" s="17" t="n"/>
      <c r="H108" s="17" t="n"/>
    </row>
    <row r="109">
      <c r="A109" s="24" t="n"/>
      <c r="B109" s="25" t="inlineStr">
        <is>
          <t>TOTAL — Abacaxi com Hortelã</t>
        </is>
      </c>
      <c r="C109" s="24" t="n"/>
      <c r="D109" s="24" t="n"/>
      <c r="E109" s="26">
        <f>SUM(E108:E108)</f>
        <v>0.45</v>
      </c>
      <c r="F109" s="27" t="n">
        <v>3</v>
      </c>
      <c r="G109" s="28">
        <f>IFERROR(E109/F109,"")</f>
        <v>0.15</v>
      </c>
      <c r="H109" s="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16" customWidth="1" min="2" max="2"/>
    <col width="52" customWidth="1" min="3" max="3"/>
    <col width="38" customWidth="1" min="4" max="4"/>
    <col width="22" customWidth="1" min="5" max="5"/>
    <col width="10" customWidth="1" min="6" max="6"/>
    <col width="10" customWidth="1" min="7" max="7"/>
    <col width="9" customWidth="1" min="8" max="8"/>
    <col width="56" customWidth="1" min="9" max="9"/>
  </cols>
  <sheetData>
    <row r="1">
      <c r="A1" s="11" t="inlineStr">
        <is>
          <t>EMENTA BALCÃO — v2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</row>
    <row r="2">
      <c r="A2" s="2" t="inlineStr">
        <is>
          <t>Doses e preços corrigidos. Alergénios completos (Reg. UE 1169/2011). FC = food cost sobre PVP.</t>
        </is>
      </c>
    </row>
    <row r="4" ht="30" customHeight="1">
      <c r="A4" s="32" t="inlineStr">
        <is>
          <t>Nome</t>
        </is>
      </c>
      <c r="B4" s="32" t="inlineStr">
        <is>
          <t>Dose</t>
        </is>
      </c>
      <c r="C4" s="32" t="inlineStr">
        <is>
          <t>Composição</t>
        </is>
      </c>
      <c r="D4" s="32" t="inlineStr">
        <is>
          <t>Alergénios</t>
        </is>
      </c>
      <c r="E4" s="32" t="inlineStr">
        <is>
          <t>Harmoniza com</t>
        </is>
      </c>
      <c r="F4" s="32" t="inlineStr">
        <is>
          <t>PVP (€)</t>
        </is>
      </c>
      <c r="G4" s="32" t="inlineStr">
        <is>
          <t>Custo (€)</t>
        </is>
      </c>
      <c r="H4" s="32" t="inlineStr">
        <is>
          <t>FC %</t>
        </is>
      </c>
      <c r="I4" s="32" t="inlineStr">
        <is>
          <t>Nota da Chef</t>
        </is>
      </c>
    </row>
    <row r="5">
      <c r="A5" s="5" t="inlineStr">
        <is>
          <t>PETISCOS PORTUGUESES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15" t="inlineStr">
        <is>
          <t>Tábua da Casa (2-3 pessoas)</t>
        </is>
      </c>
      <c r="B6" s="21" t="inlineStr">
        <is>
          <t>—</t>
        </is>
      </c>
      <c r="C6" s="33" t="inlineStr">
        <is>
          <t>Queijo da Serra e Azeitão, presunto, chouriço, paio e marmelada em tábua.</t>
        </is>
      </c>
      <c r="D6" s="33" t="inlineStr">
        <is>
          <t>LEITE, GLÚTEN, SULFITOS</t>
        </is>
      </c>
      <c r="E6" s="21" t="inlineStr">
        <is>
          <t>Noite Fechada (Stout)</t>
        </is>
      </c>
      <c r="F6" s="34" t="n">
        <v>17.9</v>
      </c>
      <c r="G6" s="21" t="inlineStr">
        <is>
          <t>n/d</t>
        </is>
      </c>
      <c r="H6" s="19" t="inlineStr">
        <is>
          <t>n/d</t>
        </is>
      </c>
      <c r="I6" s="33" t="inlineStr">
        <is>
          <t>Sulfitos acrescentados: chouriço e paio levam quase sempre conservantes sulfitados. Confirmar ficha do fornecedor.</t>
        </is>
      </c>
    </row>
    <row r="7">
      <c r="A7" s="35" t="inlineStr">
        <is>
          <t>Pastéis de Bacalhau</t>
        </is>
      </c>
      <c r="B7" s="21" t="inlineStr">
        <is>
          <t>6 un</t>
        </is>
      </c>
      <c r="C7" s="33" t="inlineStr">
        <is>
          <t>Bacalhau desfiado e puré de batata, moldados e fritos na hora.</t>
        </is>
      </c>
      <c r="D7" s="33" t="inlineStr">
        <is>
          <t>PEIXE, OVO, GLÚTEN, LEITE</t>
        </is>
      </c>
      <c r="E7" s="21" t="inlineStr">
        <is>
          <t>Pressão da Casa (Lager)</t>
        </is>
      </c>
      <c r="F7" s="34" t="n">
        <v>9.9</v>
      </c>
      <c r="G7" s="18" t="n">
        <v>3.3</v>
      </c>
      <c r="H7" s="28" t="n">
        <v>0.3333333333333333</v>
      </c>
      <c r="I7" s="33" t="inlineStr">
        <is>
          <t>Preço sobe de 8,90 para 9,90 (FC 37,1% -&gt; 33,3%). Alergénios: acrescentado GLÚTEN e LEITE (o puré leva leite; a massa leva farinha).</t>
        </is>
      </c>
    </row>
    <row r="8">
      <c r="A8" s="15" t="inlineStr">
        <is>
          <t>Moelas Estufadas</t>
        </is>
      </c>
      <c r="B8" s="21" t="inlineStr">
        <is>
          <t>—</t>
        </is>
      </c>
      <c r="C8" s="33" t="inlineStr">
        <is>
          <t>Estufadas em vinho branco, tomate, colorau e louro — lume brando.</t>
        </is>
      </c>
      <c r="D8" s="33" t="inlineStr">
        <is>
          <t>SULFITOS</t>
        </is>
      </c>
      <c r="E8" s="21" t="inlineStr">
        <is>
          <t>Pressão da Casa (Lager)</t>
        </is>
      </c>
      <c r="F8" s="34" t="n">
        <v>11.9</v>
      </c>
      <c r="G8" s="18" t="n">
        <v>1.6</v>
      </c>
      <c r="H8" s="28" t="n">
        <v>0.134453781512605</v>
      </c>
      <c r="I8" s="33" t="inlineStr">
        <is>
          <t>FC aparente 13,4% — custo de 1,60 €/porção não tem gramagem definida. Definir a porção em gramas antes de confiar neste número.</t>
        </is>
      </c>
    </row>
    <row r="9">
      <c r="A9" s="35" t="inlineStr">
        <is>
          <t>Rissóis de Gambas</t>
        </is>
      </c>
      <c r="B9" s="21" t="inlineStr">
        <is>
          <t>5 un</t>
        </is>
      </c>
      <c r="C9" s="33" t="inlineStr">
        <is>
          <t>Recheio cremoso de gambas com noz-moscada, panados e fritos.</t>
        </is>
      </c>
      <c r="D9" s="33" t="inlineStr">
        <is>
          <t>CRUSTÁCEOS, GLÚTEN, LEITE, OVO, PEIXE (vestígios)</t>
        </is>
      </c>
      <c r="E9" s="21" t="inlineStr">
        <is>
          <t>Pressão da Casa (Lager)</t>
        </is>
      </c>
      <c r="F9" s="34" t="n">
        <v>6.9</v>
      </c>
      <c r="G9" s="18" t="n">
        <v>2.25</v>
      </c>
      <c r="H9" s="28" t="n">
        <v>0.3260869565217391</v>
      </c>
      <c r="I9" s="33" t="inlineStr">
        <is>
          <t>Dose reduzida de 6 para 5 un a preço igual (FC 39,1% -&gt; 32,6%). Alternativa: manter 6 un e subir para 8,50 €.</t>
        </is>
      </c>
    </row>
    <row r="10">
      <c r="A10" s="15" t="inlineStr">
        <is>
          <t>Pica-Pau</t>
        </is>
      </c>
      <c r="B10" s="21" t="inlineStr">
        <is>
          <t>—</t>
        </is>
      </c>
      <c r="C10" s="33" t="inlineStr">
        <is>
          <t>Lombo salteado em alho e vinho branco, mostarda e pepino de conserva.</t>
        </is>
      </c>
      <c r="D10" s="33" t="inlineStr">
        <is>
          <t>MOSTARDA, SULFITOS, GLÚTEN (pão de acompanhamento)</t>
        </is>
      </c>
      <c r="E10" s="21" t="inlineStr">
        <is>
          <t>Copo Cheio (IPA)</t>
        </is>
      </c>
      <c r="F10" s="34" t="n">
        <v>14.9</v>
      </c>
      <c r="G10" s="21" t="inlineStr">
        <is>
          <t>n/d</t>
        </is>
      </c>
      <c r="H10" s="19" t="inlineStr">
        <is>
          <t>n/d</t>
        </is>
      </c>
      <c r="I10" s="33" t="inlineStr">
        <is>
          <t>Sem ficha técnica em sistema — não custeável. Prioridade de custeio.</t>
        </is>
      </c>
    </row>
    <row r="11">
      <c r="A11" s="5" t="inlineStr">
        <is>
          <t>PETISCOS BRASILEIROS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5" t="inlineStr">
        <is>
          <t>Batatas Fritas com Cheddar e Bacon</t>
        </is>
      </c>
      <c r="B12" s="21" t="inlineStr">
        <is>
          <t>—</t>
        </is>
      </c>
      <c r="C12" s="33" t="inlineStr">
        <is>
          <t>Fritura dupla até dourar, cheddar derretido e bacon estaladiço.</t>
        </is>
      </c>
      <c r="D12" s="33" t="inlineStr">
        <is>
          <t>LEITE</t>
        </is>
      </c>
      <c r="E12" s="21" t="inlineStr">
        <is>
          <t>Pressão da Casa (Lager)</t>
        </is>
      </c>
      <c r="F12" s="34" t="n">
        <v>9.9</v>
      </c>
      <c r="G12" s="18" t="n">
        <v>1.225</v>
      </c>
      <c r="H12" s="28" t="n">
        <v>0.1237373737373737</v>
      </c>
      <c r="I12" s="33" t="inlineStr">
        <is>
          <t>FC aparente 12,4% — porção de cheddar e bacon sem gramagem definida. Rever.</t>
        </is>
      </c>
    </row>
    <row r="13">
      <c r="A13" s="35" t="inlineStr">
        <is>
          <t>Bolinhas de Feijoada</t>
        </is>
      </c>
      <c r="B13" s="21" t="inlineStr">
        <is>
          <t>5 un</t>
        </is>
      </c>
      <c r="C13" s="33" t="inlineStr">
        <is>
          <t>Feijoada desfiada e escorrida, panada e frita.</t>
        </is>
      </c>
      <c r="D13" s="33" t="inlineStr">
        <is>
          <t>GLÚTEN, OVO, LEITE</t>
        </is>
      </c>
      <c r="E13" s="21" t="inlineStr">
        <is>
          <t>Noite Fechada (Stout)</t>
        </is>
      </c>
      <c r="F13" s="34" t="n">
        <v>6.9</v>
      </c>
      <c r="G13" s="18" t="n">
        <v>2.25</v>
      </c>
      <c r="H13" s="28" t="n">
        <v>0.3260869565217391</v>
      </c>
      <c r="I13" s="33" t="inlineStr">
        <is>
          <t>CRÍTICO: a 8 un / 5,90 € o food cost era 61%. Vendíamos a perder. Corrigido para 5 un / 6,90 € (32,6%).</t>
        </is>
      </c>
    </row>
    <row r="14">
      <c r="A14" s="35" t="inlineStr">
        <is>
          <t>Bolinhas de Mandioca com Carne e Queijo</t>
        </is>
      </c>
      <c r="B14" s="21" t="inlineStr">
        <is>
          <t>5 un</t>
        </is>
      </c>
      <c r="C14" s="33" t="inlineStr">
        <is>
          <t>Mandioca amassada recheada de carne picada e queijo.</t>
        </is>
      </c>
      <c r="D14" s="33" t="inlineStr">
        <is>
          <t>LEITE, GLÚTEN, OVO</t>
        </is>
      </c>
      <c r="E14" s="21" t="inlineStr">
        <is>
          <t>Pressão da Casa (Lager)</t>
        </is>
      </c>
      <c r="F14" s="34" t="n">
        <v>6.9</v>
      </c>
      <c r="G14" s="18" t="n">
        <v>2.25</v>
      </c>
      <c r="H14" s="28" t="n">
        <v>0.3260869565217391</v>
      </c>
      <c r="I14" s="33" t="inlineStr">
        <is>
          <t>CRÍTICO: a 8 un o food cost era 52,2%. Dose reduzida para 5 un a preço igual (32,6%).</t>
        </is>
      </c>
    </row>
    <row r="15">
      <c r="A15" s="36" t="inlineStr">
        <is>
          <t>Calabresa Acebolada</t>
        </is>
      </c>
      <c r="B15" s="37" t="inlineStr">
        <is>
          <t>—</t>
        </is>
      </c>
      <c r="C15" s="38" t="inlineStr">
        <is>
          <t>Linguiça grelhada na travessa de ferro, cebola caramelizada à parte.</t>
        </is>
      </c>
      <c r="D15" s="38" t="inlineStr">
        <is>
          <t>SULFITOS, LEITE (a confirmar com fornecedor)</t>
        </is>
      </c>
      <c r="E15" s="37" t="inlineStr">
        <is>
          <t>Copo Cheio (IPA)</t>
        </is>
      </c>
      <c r="F15" s="39" t="n">
        <v>12.9</v>
      </c>
      <c r="G15" s="40" t="n">
        <v>0.88</v>
      </c>
      <c r="H15" s="41" t="n">
        <v>0.06821705426356589</v>
      </c>
      <c r="I15" s="38" t="inlineStr">
        <is>
          <t>BLOQUEADO: alergénio por confirmar com o fornecedor da linguiça. Não publicar. FC aparente 6,8% — porção sem gramagem, custo irrealista.</t>
        </is>
      </c>
    </row>
    <row r="16">
      <c r="A16" s="35" t="inlineStr">
        <is>
          <t>Pastéis de Vento (Sortidos)</t>
        </is>
      </c>
      <c r="B16" s="21" t="inlineStr">
        <is>
          <t>6 un, 2 recheios</t>
        </is>
      </c>
      <c r="C16" s="33" t="inlineStr">
        <is>
          <t>Queijo e carne desfiada — dois recheios, uma massa fininha.</t>
        </is>
      </c>
      <c r="D16" s="33" t="inlineStr">
        <is>
          <t>GLÚTEN, LEITE, CRUSTÁCEOS, OVO</t>
        </is>
      </c>
      <c r="E16" s="21" t="inlineStr">
        <is>
          <t>Pressão da Casa (Lager)</t>
        </is>
      </c>
      <c r="F16" s="34" t="n">
        <v>7.9</v>
      </c>
      <c r="G16" s="18" t="n">
        <v>2.4</v>
      </c>
      <c r="H16" s="28" t="n">
        <v>0.3037974683544303</v>
      </c>
      <c r="I16" s="33" t="inlineStr">
        <is>
          <t>CRÍTICO: a 9 un o food cost era 45,6%. Reduzido para 6 un e 2 recheios (queijo + carne) — 30,4%. O recheio de camarão sai: era a terceira mise-en-place para o petisco de pior rácio trabalho/receita.</t>
        </is>
      </c>
    </row>
    <row r="17">
      <c r="A17" s="15" t="inlineStr">
        <is>
          <t>Coxinha de Frango</t>
        </is>
      </c>
      <c r="B17" s="21" t="inlineStr">
        <is>
          <t>5 un</t>
        </is>
      </c>
      <c r="C17" s="33" t="inlineStr">
        <is>
          <t>Frango desfiado e requeijão, o clássico de boteco, em forma de gota.</t>
        </is>
      </c>
      <c r="D17" s="33" t="inlineStr">
        <is>
          <t>GLÚTEN, LEITE, OVO</t>
        </is>
      </c>
      <c r="E17" s="21" t="inlineStr">
        <is>
          <t>Pressão da Casa (Lager)</t>
        </is>
      </c>
      <c r="F17" s="34" t="n">
        <v>7.5</v>
      </c>
      <c r="G17" s="18" t="n">
        <v>2.5</v>
      </c>
      <c r="H17" s="28" t="n">
        <v>0.3333333333333333</v>
      </c>
      <c r="I17" s="33" t="inlineStr">
        <is>
          <t>Validado: FC 33,3%. Asterisco de 'preço a confirmar' pode sair.</t>
        </is>
      </c>
    </row>
    <row r="19">
      <c r="A19" s="5" t="inlineStr">
        <is>
          <t>COMBOS PARA PARTILHAR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5" t="inlineStr">
        <is>
          <t>SABORES DE PORTUGAL</t>
        </is>
      </c>
      <c r="B20" s="21" t="inlineStr">
        <is>
          <t>2-3 pessoas</t>
        </is>
      </c>
      <c r="C20" s="33" t="inlineStr">
        <is>
          <t>Pastéis de Bacalhau (6) + Rissóis de Gambas (5) + Jarro 1L Pressão da Casa, Sagres 1L ou Refrigerante 1,5L</t>
        </is>
      </c>
      <c r="D20" s="33" t="inlineStr">
        <is>
          <t>PEIXE, OVO, CRUSTÁCEOS, GLÚTEN, LEITE</t>
        </is>
      </c>
      <c r="E20" s="21" t="inlineStr">
        <is>
          <t>Pressão da Casa</t>
        </is>
      </c>
      <c r="F20" s="34" t="n">
        <v>24.5</v>
      </c>
      <c r="G20" s="19" t="inlineStr">
        <is>
          <t>n/d</t>
        </is>
      </c>
      <c r="H20" s="19" t="inlineStr">
        <is>
          <t>n/d</t>
        </is>
      </c>
      <c r="I20" s="33" t="inlineStr">
        <is>
          <t>Preço sobe de 22,50 para 24,50 € — acompanha a subida dos Pastéis de Bacalhau. Custo de comida 5,55 €; falta o custo do jarro de cerveja para fechar o food cost.</t>
        </is>
      </c>
    </row>
    <row r="21">
      <c r="A21" s="15" t="inlineStr">
        <is>
          <t>BOTECO BRASILEIRO</t>
        </is>
      </c>
      <c r="B21" s="21" t="inlineStr">
        <is>
          <t>2-3 pessoas</t>
        </is>
      </c>
      <c r="C21" s="33" t="inlineStr">
        <is>
          <t>Bolinhas de Mandioca (5) + Coxinha de Frango (5) + Jarro 1L Copo Cheio, Sagres 1L ou Refrigerante 1,5L</t>
        </is>
      </c>
      <c r="D21" s="33" t="inlineStr">
        <is>
          <t>LEITE, GLÚTEN, OVO</t>
        </is>
      </c>
      <c r="E21" s="21" t="inlineStr">
        <is>
          <t>Copo Cheio</t>
        </is>
      </c>
      <c r="F21" s="34" t="n">
        <v>23.5</v>
      </c>
      <c r="G21" s="19" t="inlineStr">
        <is>
          <t>n/d</t>
        </is>
      </c>
      <c r="H21" s="19" t="inlineStr">
        <is>
          <t>n/d</t>
        </is>
      </c>
      <c r="I21" s="33" t="inlineStr">
        <is>
          <t>Mantido. Custo de comida 4,75 €; falta o custo do jarro.</t>
        </is>
      </c>
    </row>
    <row r="22">
      <c r="A22" s="15" t="inlineStr">
        <is>
          <t>TÁBUA PARA DOIS (LUSO-BRASILEIRO)</t>
        </is>
      </c>
      <c r="B22" s="21" t="inlineStr">
        <is>
          <t>2 pessoas</t>
        </is>
      </c>
      <c r="C22" s="33" t="inlineStr">
        <is>
          <t>Tábua da Casa + Jarro 1L Noite Fechada, Sagres 1L ou Refrigerante 1,5L</t>
        </is>
      </c>
      <c r="D22" s="33" t="inlineStr">
        <is>
          <t>LEITE, GLÚTEN, SULFITOS</t>
        </is>
      </c>
      <c r="E22" s="21" t="inlineStr">
        <is>
          <t>Noite Fechada</t>
        </is>
      </c>
      <c r="F22" s="34" t="n">
        <v>27.9</v>
      </c>
      <c r="G22" s="19" t="inlineStr">
        <is>
          <t>n/d</t>
        </is>
      </c>
      <c r="H22" s="19" t="inlineStr">
        <is>
          <t>n/d</t>
        </is>
      </c>
      <c r="I22" s="33" t="inlineStr">
        <is>
          <t>Mantido. Tábua não custeada — sem ficha técnica.</t>
        </is>
      </c>
    </row>
    <row r="23">
      <c r="A23" s="15" t="inlineStr">
        <is>
          <t>MOELAS E MANDIOCA</t>
        </is>
      </c>
      <c r="B23" s="21" t="inlineStr">
        <is>
          <t>2-3 pessoas</t>
        </is>
      </c>
      <c r="C23" s="33" t="inlineStr">
        <is>
          <t>Moelas Estufadas + Bolinhas de Mandioca (5) + Jarro 1L Pressão da Casa, Sagres 1L ou Refrigerante 1,5L</t>
        </is>
      </c>
      <c r="D23" s="33" t="inlineStr">
        <is>
          <t>SULFITOS, LEITE, GLÚTEN, OVO</t>
        </is>
      </c>
      <c r="E23" s="21" t="inlineStr">
        <is>
          <t>Pressão da Casa</t>
        </is>
      </c>
      <c r="F23" s="34" t="n">
        <v>25.5</v>
      </c>
      <c r="G23" s="19" t="inlineStr">
        <is>
          <t>n/d</t>
        </is>
      </c>
      <c r="H23" s="19" t="inlineStr">
        <is>
          <t>n/d</t>
        </is>
      </c>
      <c r="I23" s="33" t="inlineStr">
        <is>
          <t>Reclassificado de "3-4 pessoas" para "2-3": dois petiscos não alimentam quatro pessoas e a reclamação era certa.</t>
        </is>
      </c>
    </row>
    <row r="25">
      <c r="A25" s="5" t="inlineStr">
        <is>
          <t>PEQUENO-ALMOÇO — BEBIDAS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>
      <c r="A26" s="15" t="inlineStr">
        <is>
          <t>Café Expresso</t>
        </is>
      </c>
      <c r="B26" s="21" t="inlineStr">
        <is>
          <t>—</t>
        </is>
      </c>
      <c r="C26" s="33" t="inlineStr"/>
      <c r="D26" s="33" t="inlineStr">
        <is>
          <t>—</t>
        </is>
      </c>
      <c r="E26" s="21" t="inlineStr"/>
      <c r="F26" s="34" t="n">
        <v>1.2</v>
      </c>
      <c r="G26" s="18" t="n">
        <v>0.12</v>
      </c>
      <c r="H26" s="30" t="n">
        <v>0.1</v>
      </c>
      <c r="I26" s="33" t="inlineStr"/>
    </row>
    <row r="27">
      <c r="A27" s="15" t="inlineStr">
        <is>
          <t>Café Macchiato</t>
        </is>
      </c>
      <c r="B27" s="21" t="inlineStr">
        <is>
          <t>—</t>
        </is>
      </c>
      <c r="C27" s="33" t="inlineStr"/>
      <c r="D27" s="42" t="inlineStr">
        <is>
          <t>LEITE</t>
        </is>
      </c>
      <c r="E27" s="21" t="inlineStr"/>
      <c r="F27" s="34" t="n">
        <v>1.4</v>
      </c>
      <c r="G27" s="18" t="n">
        <v>0.1455</v>
      </c>
      <c r="H27" s="30" t="n">
        <v>0.1039285714285714</v>
      </c>
      <c r="I27" s="33" t="inlineStr">
        <is>
          <t>Alergénios acrescentados — estavam em branco no ficheiro original.</t>
        </is>
      </c>
    </row>
    <row r="28">
      <c r="A28" s="15" t="inlineStr">
        <is>
          <t>Americano</t>
        </is>
      </c>
      <c r="B28" s="21" t="inlineStr">
        <is>
          <t>—</t>
        </is>
      </c>
      <c r="C28" s="33" t="inlineStr"/>
      <c r="D28" s="33" t="inlineStr">
        <is>
          <t>—</t>
        </is>
      </c>
      <c r="E28" s="21" t="inlineStr"/>
      <c r="F28" s="34" t="n">
        <v>1.5</v>
      </c>
      <c r="G28" s="18" t="n">
        <v>0.12</v>
      </c>
      <c r="H28" s="30" t="n">
        <v>0.08</v>
      </c>
      <c r="I28" s="33" t="inlineStr"/>
    </row>
    <row r="29">
      <c r="A29" s="15" t="inlineStr">
        <is>
          <t>Cappuccino</t>
        </is>
      </c>
      <c r="B29" s="21" t="inlineStr">
        <is>
          <t>—</t>
        </is>
      </c>
      <c r="C29" s="33" t="inlineStr"/>
      <c r="D29" s="42" t="inlineStr">
        <is>
          <t>LEITE</t>
        </is>
      </c>
      <c r="E29" s="21" t="inlineStr"/>
      <c r="F29" s="34" t="n">
        <v>1.9</v>
      </c>
      <c r="G29" s="18" t="n">
        <v>0.205</v>
      </c>
      <c r="H29" s="30" t="n">
        <v>0.1078947368421053</v>
      </c>
      <c r="I29" s="33" t="inlineStr">
        <is>
          <t>Alergénios acrescentados — estavam em branco no ficheiro original.</t>
        </is>
      </c>
    </row>
    <row r="30">
      <c r="A30" s="15" t="inlineStr">
        <is>
          <t>Galão</t>
        </is>
      </c>
      <c r="B30" s="21" t="inlineStr">
        <is>
          <t>—</t>
        </is>
      </c>
      <c r="C30" s="33" t="inlineStr"/>
      <c r="D30" s="42" t="inlineStr">
        <is>
          <t>LEITE</t>
        </is>
      </c>
      <c r="E30" s="21" t="inlineStr"/>
      <c r="F30" s="34" t="n">
        <v>1.8</v>
      </c>
      <c r="G30" s="18" t="n">
        <v>0.2475</v>
      </c>
      <c r="H30" s="28" t="n">
        <v>0.1375</v>
      </c>
      <c r="I30" s="33" t="inlineStr">
        <is>
          <t>Alergénios acrescentados — estavam em branco no ficheiro original.</t>
        </is>
      </c>
    </row>
    <row r="31">
      <c r="A31" s="15" t="inlineStr">
        <is>
          <t>Meia de Leite</t>
        </is>
      </c>
      <c r="B31" s="21" t="inlineStr">
        <is>
          <t>—</t>
        </is>
      </c>
      <c r="C31" s="33" t="inlineStr"/>
      <c r="D31" s="42" t="inlineStr">
        <is>
          <t>LEITE</t>
        </is>
      </c>
      <c r="E31" s="21" t="inlineStr"/>
      <c r="F31" s="34" t="n">
        <v>1.6</v>
      </c>
      <c r="G31" s="18" t="n">
        <v>0.2475</v>
      </c>
      <c r="H31" s="28" t="n">
        <v>0.1546875</v>
      </c>
      <c r="I31" s="33" t="inlineStr">
        <is>
          <t>Alergénios acrescentados — estavam em branco no ficheiro original.</t>
        </is>
      </c>
    </row>
    <row r="32">
      <c r="A32" s="15" t="inlineStr">
        <is>
          <t>Chá</t>
        </is>
      </c>
      <c r="B32" s="21" t="inlineStr">
        <is>
          <t>—</t>
        </is>
      </c>
      <c r="C32" s="33" t="inlineStr"/>
      <c r="D32" s="33" t="inlineStr">
        <is>
          <t>—</t>
        </is>
      </c>
      <c r="E32" s="21" t="inlineStr"/>
      <c r="F32" s="34" t="n">
        <v>1.5</v>
      </c>
      <c r="G32" s="18" t="n">
        <v>0.08</v>
      </c>
      <c r="H32" s="30" t="n">
        <v>0.05333333333333334</v>
      </c>
      <c r="I32" s="33" t="inlineStr"/>
    </row>
    <row r="33">
      <c r="A33" s="15" t="inlineStr">
        <is>
          <t>Café Coado (brasileiro)</t>
        </is>
      </c>
      <c r="B33" s="21" t="inlineStr">
        <is>
          <t>—</t>
        </is>
      </c>
      <c r="C33" s="33" t="inlineStr"/>
      <c r="D33" s="33" t="inlineStr">
        <is>
          <t>—</t>
        </is>
      </c>
      <c r="E33" s="21" t="inlineStr"/>
      <c r="F33" s="34" t="n">
        <v>2</v>
      </c>
      <c r="G33" s="18" t="n">
        <v>0.12</v>
      </c>
      <c r="H33" s="30" t="n">
        <v>0.06</v>
      </c>
      <c r="I33" s="33" t="inlineStr"/>
    </row>
    <row r="34">
      <c r="A34" s="15" t="inlineStr">
        <is>
          <t>Sumo de Laranja Natural</t>
        </is>
      </c>
      <c r="B34" s="21" t="inlineStr">
        <is>
          <t>—</t>
        </is>
      </c>
      <c r="C34" s="33" t="inlineStr"/>
      <c r="D34" s="33" t="inlineStr">
        <is>
          <t>—</t>
        </is>
      </c>
      <c r="E34" s="21" t="inlineStr"/>
      <c r="F34" s="34" t="n">
        <v>3</v>
      </c>
      <c r="G34" s="18" t="n">
        <v>1.05</v>
      </c>
      <c r="H34" s="31" t="n">
        <v>0.35</v>
      </c>
      <c r="I34" s="33" t="inlineStr"/>
    </row>
    <row r="35">
      <c r="A35" s="15" t="inlineStr">
        <is>
          <t>Sumo de Manga/Maracujá Natural</t>
        </is>
      </c>
      <c r="B35" s="21" t="inlineStr">
        <is>
          <t>—</t>
        </is>
      </c>
      <c r="C35" s="33" t="inlineStr"/>
      <c r="D35" s="33" t="inlineStr">
        <is>
          <t>—</t>
        </is>
      </c>
      <c r="E35" s="21" t="inlineStr"/>
      <c r="F35" s="34" t="n">
        <v>3.5</v>
      </c>
      <c r="G35" s="18" t="n">
        <v>0.55</v>
      </c>
      <c r="H35" s="28" t="n">
        <v>0.1571428571428572</v>
      </c>
      <c r="I35" s="33" t="inlineStr"/>
    </row>
    <row r="36">
      <c r="A36" s="5" t="inlineStr">
        <is>
          <t>PEQUENO-ALMOÇO — SALGADOS E DOCES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</row>
    <row r="37">
      <c r="A37" s="15" t="inlineStr">
        <is>
          <t>Tosta Simples</t>
        </is>
      </c>
      <c r="B37" s="21" t="inlineStr">
        <is>
          <t>—</t>
        </is>
      </c>
      <c r="C37" s="33" t="inlineStr"/>
      <c r="D37" s="42" t="inlineStr">
        <is>
          <t>GLÚTEN, LEITE</t>
        </is>
      </c>
      <c r="E37" s="21" t="inlineStr"/>
      <c r="F37" s="34" t="n">
        <v>2</v>
      </c>
      <c r="G37" s="18" t="n">
        <v>0.28</v>
      </c>
      <c r="H37" s="28" t="n">
        <v>0.14</v>
      </c>
      <c r="I37" s="33" t="inlineStr">
        <is>
          <t>Alergénios acrescentados — estavam em branco no ficheiro original.</t>
        </is>
      </c>
    </row>
    <row r="38">
      <c r="A38" s="15" t="inlineStr">
        <is>
          <t>Tosta Mista</t>
        </is>
      </c>
      <c r="B38" s="21" t="inlineStr">
        <is>
          <t>—</t>
        </is>
      </c>
      <c r="C38" s="33" t="inlineStr"/>
      <c r="D38" s="42" t="inlineStr">
        <is>
          <t>GLÚTEN, LEITE</t>
        </is>
      </c>
      <c r="E38" s="21" t="inlineStr"/>
      <c r="F38" s="34" t="n">
        <v>3.5</v>
      </c>
      <c r="G38" s="18" t="n">
        <v>0.63</v>
      </c>
      <c r="H38" s="28" t="n">
        <v>0.18</v>
      </c>
      <c r="I38" s="33" t="inlineStr">
        <is>
          <t>Alergénios acrescentados — estavam em branco no ficheiro original.</t>
        </is>
      </c>
    </row>
    <row r="39">
      <c r="A39" s="15" t="inlineStr">
        <is>
          <t>Croissant Simples</t>
        </is>
      </c>
      <c r="B39" s="21" t="inlineStr">
        <is>
          <t>—</t>
        </is>
      </c>
      <c r="C39" s="33" t="inlineStr"/>
      <c r="D39" s="42" t="inlineStr">
        <is>
          <t>GLÚTEN, LEITE, OVO</t>
        </is>
      </c>
      <c r="E39" s="21" t="inlineStr"/>
      <c r="F39" s="34" t="n">
        <v>1.8</v>
      </c>
      <c r="G39" s="18" t="n">
        <v>0.45</v>
      </c>
      <c r="H39" s="28" t="n">
        <v>0.25</v>
      </c>
      <c r="I39" s="33" t="inlineStr">
        <is>
          <t>Alergénios acrescentados — estavam em branco no ficheiro original.</t>
        </is>
      </c>
    </row>
    <row r="40">
      <c r="A40" s="15" t="inlineStr">
        <is>
          <t>Croissant Misto</t>
        </is>
      </c>
      <c r="B40" s="21" t="inlineStr">
        <is>
          <t>—</t>
        </is>
      </c>
      <c r="C40" s="33" t="inlineStr"/>
      <c r="D40" s="42" t="inlineStr">
        <is>
          <t>GLÚTEN, LEITE, OVO</t>
        </is>
      </c>
      <c r="E40" s="21" t="inlineStr"/>
      <c r="F40" s="34" t="n">
        <v>3.2</v>
      </c>
      <c r="G40" s="18" t="n">
        <v>0.8</v>
      </c>
      <c r="H40" s="28" t="n">
        <v>0.25</v>
      </c>
      <c r="I40" s="33" t="inlineStr">
        <is>
          <t>Alergénios acrescentados — estavam em branco no ficheiro original.</t>
        </is>
      </c>
    </row>
    <row r="41">
      <c r="A41" s="15" t="inlineStr">
        <is>
          <t>Pão de Queijo (unidade)</t>
        </is>
      </c>
      <c r="B41" s="21" t="inlineStr">
        <is>
          <t>—</t>
        </is>
      </c>
      <c r="C41" s="33" t="inlineStr"/>
      <c r="D41" s="42" t="inlineStr">
        <is>
          <t>LEITE, OVO</t>
        </is>
      </c>
      <c r="E41" s="21" t="inlineStr"/>
      <c r="F41" s="34" t="n">
        <v>1.2</v>
      </c>
      <c r="G41" s="18" t="n">
        <v>0.25</v>
      </c>
      <c r="H41" s="28" t="n">
        <v>0.2083333333333333</v>
      </c>
      <c r="I41" s="33" t="inlineStr">
        <is>
          <t>Alergénios acrescentados — estavam em branco no ficheiro original.</t>
        </is>
      </c>
    </row>
    <row r="42">
      <c r="A42" s="15" t="inlineStr">
        <is>
          <t>Pão de Queijo (trio)</t>
        </is>
      </c>
      <c r="B42" s="21" t="inlineStr">
        <is>
          <t>—</t>
        </is>
      </c>
      <c r="C42" s="33" t="inlineStr"/>
      <c r="D42" s="42" t="inlineStr">
        <is>
          <t>LEITE, OVO</t>
        </is>
      </c>
      <c r="E42" s="21" t="inlineStr"/>
      <c r="F42" s="34" t="n">
        <v>3</v>
      </c>
      <c r="G42" s="18" t="n">
        <v>0.75</v>
      </c>
      <c r="H42" s="28" t="n">
        <v>0.25</v>
      </c>
      <c r="I42" s="33" t="inlineStr">
        <is>
          <t>Alergénios acrescentados — estavam em branco no ficheiro original.</t>
        </is>
      </c>
    </row>
    <row r="43">
      <c r="A43" s="15" t="inlineStr">
        <is>
          <t>Torrada de Broa c/ manteiga e queijo fresco</t>
        </is>
      </c>
      <c r="B43" s="21" t="inlineStr">
        <is>
          <t>—</t>
        </is>
      </c>
      <c r="C43" s="33" t="inlineStr"/>
      <c r="D43" s="42" t="inlineStr">
        <is>
          <t>GLÚTEN, LEITE</t>
        </is>
      </c>
      <c r="E43" s="21" t="inlineStr"/>
      <c r="F43" s="34" t="n">
        <v>3.8</v>
      </c>
      <c r="G43" s="18" t="n">
        <v>0.52</v>
      </c>
      <c r="H43" s="28" t="n">
        <v>0.1368421052631579</v>
      </c>
      <c r="I43" s="33" t="inlineStr">
        <is>
          <t>Alergénios acrescentados — estavam em branco no ficheiro original.</t>
        </is>
      </c>
    </row>
    <row r="44">
      <c r="A44" s="15" t="inlineStr">
        <is>
          <t>Ovos Mexidos c/ coentros</t>
        </is>
      </c>
      <c r="B44" s="21" t="inlineStr">
        <is>
          <t>—</t>
        </is>
      </c>
      <c r="C44" s="33" t="inlineStr"/>
      <c r="D44" s="42" t="inlineStr">
        <is>
          <t>OVO, LEITE</t>
        </is>
      </c>
      <c r="E44" s="21" t="inlineStr"/>
      <c r="F44" s="34" t="n">
        <v>4</v>
      </c>
      <c r="G44" s="18" t="n">
        <v>0.5600000000000001</v>
      </c>
      <c r="H44" s="28" t="n">
        <v>0.14</v>
      </c>
      <c r="I44" s="33" t="inlineStr">
        <is>
          <t>Alergénios acrescentados — estavam em branco no ficheiro original.</t>
        </is>
      </c>
    </row>
    <row r="45">
      <c r="A45" s="15" t="inlineStr">
        <is>
          <t>Fruta Fresca da Época</t>
        </is>
      </c>
      <c r="B45" s="21" t="inlineStr">
        <is>
          <t>—</t>
        </is>
      </c>
      <c r="C45" s="33" t="inlineStr"/>
      <c r="D45" s="33" t="inlineStr">
        <is>
          <t>—</t>
        </is>
      </c>
      <c r="E45" s="21" t="inlineStr"/>
      <c r="F45" s="34" t="n">
        <v>2.5</v>
      </c>
      <c r="G45" s="18" t="n">
        <v>0.6</v>
      </c>
      <c r="H45" s="28" t="n">
        <v>0.24</v>
      </c>
      <c r="I45" s="33" t="inlineStr"/>
    </row>
    <row r="46">
      <c r="A46" s="15" t="inlineStr">
        <is>
          <t>Abacaxi com Hortelã</t>
        </is>
      </c>
      <c r="B46" s="21" t="inlineStr">
        <is>
          <t>—</t>
        </is>
      </c>
      <c r="C46" s="33" t="inlineStr"/>
      <c r="D46" s="33" t="inlineStr">
        <is>
          <t>—</t>
        </is>
      </c>
      <c r="E46" s="21" t="inlineStr"/>
      <c r="F46" s="34" t="n">
        <v>3</v>
      </c>
      <c r="G46" s="18" t="n">
        <v>0.45</v>
      </c>
      <c r="H46" s="28" t="n">
        <v>0.15</v>
      </c>
      <c r="I46" s="33" t="inlineStr"/>
    </row>
    <row r="47">
      <c r="A47" s="43" t="inlineStr">
        <is>
          <t>Bolo da Dona Célia (fatia)</t>
        </is>
      </c>
      <c r="B47" s="44" t="inlineStr">
        <is>
          <t>—</t>
        </is>
      </c>
      <c r="C47" s="45" t="inlineStr"/>
      <c r="D47" s="45" t="inlineStr">
        <is>
          <t>GLÚTEN, LEITE, OVO (+ FRUTOS DE CASCA RIJA a confirmar)</t>
        </is>
      </c>
      <c r="E47" s="44" t="inlineStr"/>
      <c r="F47" s="46" t="n">
        <v>2.8</v>
      </c>
      <c r="G47" s="44" t="inlineStr">
        <is>
          <t>n/d</t>
        </is>
      </c>
      <c r="H47" s="47" t="inlineStr">
        <is>
          <t>n/d</t>
        </is>
      </c>
      <c r="I47" s="45" t="inlineStr">
        <is>
          <t>Produção externa? Precisamos de ficha de alergénios do produtor e de rastreabilidade HACCP. Sem isso não vai para a carta.</t>
        </is>
      </c>
    </row>
    <row r="49">
      <c r="A49" s="5" t="inlineStr">
        <is>
          <t>PEQUENO-ALMOÇO — COMBOS</t>
        </is>
      </c>
      <c r="B49" s="14" t="n"/>
      <c r="C49" s="14" t="n"/>
      <c r="D49" s="14" t="n"/>
      <c r="E49" s="14" t="n"/>
      <c r="F49" s="14" t="n"/>
      <c r="G49" s="14" t="n"/>
      <c r="H49" s="14" t="n"/>
      <c r="I49" s="14" t="n"/>
    </row>
    <row r="50">
      <c r="A50" s="15" t="inlineStr">
        <is>
          <t>COMBO PORTUGUÊS</t>
        </is>
      </c>
      <c r="B50" s="21" t="inlineStr">
        <is>
          <t>—</t>
        </is>
      </c>
      <c r="C50" s="33" t="inlineStr">
        <is>
          <t>Tosta Mista + Sumo de Laranja + Café Expresso</t>
        </is>
      </c>
      <c r="D50" s="42" t="inlineStr">
        <is>
          <t>GLÚTEN, LEITE</t>
        </is>
      </c>
      <c r="E50" s="21" t="inlineStr"/>
      <c r="F50" s="34" t="n">
        <v>6.5</v>
      </c>
      <c r="G50" s="19" t="inlineStr">
        <is>
          <t>n/d</t>
        </is>
      </c>
      <c r="H50" s="19" t="inlineStr">
        <is>
          <t>n/d</t>
        </is>
      </c>
      <c r="I50" s="33" t="inlineStr">
        <is>
          <t>Alergénios herdados dos componentes — estavam em branco no original.</t>
        </is>
      </c>
    </row>
    <row r="51">
      <c r="A51" s="15" t="inlineStr">
        <is>
          <t>COMBO BRASILEIRO</t>
        </is>
      </c>
      <c r="B51" s="21" t="inlineStr">
        <is>
          <t>—</t>
        </is>
      </c>
      <c r="C51" s="33" t="inlineStr">
        <is>
          <t>Pão de Queijo (trio) + Fruta + Café Coado + Sumo Manga/Maracujá</t>
        </is>
      </c>
      <c r="D51" s="42" t="inlineStr">
        <is>
          <t>LEITE, OVO</t>
        </is>
      </c>
      <c r="E51" s="21" t="inlineStr"/>
      <c r="F51" s="34" t="n">
        <v>9.5</v>
      </c>
      <c r="G51" s="19" t="inlineStr">
        <is>
          <t>n/d</t>
        </is>
      </c>
      <c r="H51" s="19" t="inlineStr">
        <is>
          <t>n/d</t>
        </is>
      </c>
      <c r="I51" s="33" t="inlineStr">
        <is>
          <t>Alergénios herdados dos componentes — estavam em branco no original.</t>
        </is>
      </c>
    </row>
    <row r="52">
      <c r="A52" s="15" t="inlineStr">
        <is>
          <t>COMBO 100PRESSÃO</t>
        </is>
      </c>
      <c r="B52" s="21" t="inlineStr">
        <is>
          <t>—</t>
        </is>
      </c>
      <c r="C52" s="33" t="inlineStr">
        <is>
          <t>Torrada de Broa + Ovos Mexidos + Café + Sumo à escolha</t>
        </is>
      </c>
      <c r="D52" s="42" t="inlineStr">
        <is>
          <t>GLÚTEN, LEITE, OVO</t>
        </is>
      </c>
      <c r="E52" s="21" t="inlineStr"/>
      <c r="F52" s="34" t="n">
        <v>10.5</v>
      </c>
      <c r="G52" s="19" t="inlineStr">
        <is>
          <t>n/d</t>
        </is>
      </c>
      <c r="H52" s="19" t="inlineStr">
        <is>
          <t>n/d</t>
        </is>
      </c>
      <c r="I52" s="33" t="inlineStr">
        <is>
          <t>Alergénios herdados dos componentes — estavam em branco no original.</t>
        </is>
      </c>
    </row>
    <row r="54">
      <c r="A54" s="5" t="inlineStr">
        <is>
          <t>ALMOÇO — PRATO FEITO (seg-sex, 12h-15h)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</row>
    <row r="55">
      <c r="A55" s="15" t="inlineStr">
        <is>
          <t>Bife Acebolado</t>
        </is>
      </c>
      <c r="B55" s="21" t="inlineStr">
        <is>
          <t>1 dose</t>
        </is>
      </c>
      <c r="C55" s="33" t="inlineStr">
        <is>
          <t>Bife grelhado, cebola caramelizada + base fixa</t>
        </is>
      </c>
      <c r="D55" s="33" t="inlineStr">
        <is>
          <t>LEITE (farofa)</t>
        </is>
      </c>
      <c r="E55" s="21" t="inlineStr">
        <is>
          <t>Noite Fechada</t>
        </is>
      </c>
      <c r="F55" s="34" t="n">
        <v>12.9</v>
      </c>
      <c r="G55" s="19" t="inlineStr">
        <is>
          <t>n/d</t>
        </is>
      </c>
      <c r="H55" s="19" t="inlineStr">
        <is>
          <t>n/d</t>
        </is>
      </c>
      <c r="I55" s="33" t="inlineStr">
        <is>
          <t>SEM CUSTEIO. A "base fixa" continua sem ficha técnica — não sei o que estou a custear. Bloqueio herdado do documento de rotação de PF.</t>
        </is>
      </c>
    </row>
    <row r="56">
      <c r="A56" s="15" t="inlineStr">
        <is>
          <t>Frango Grelhado</t>
        </is>
      </c>
      <c r="B56" s="21" t="inlineStr">
        <is>
          <t>1 dose</t>
        </is>
      </c>
      <c r="C56" s="33" t="inlineStr">
        <is>
          <t>Peito marinado em limão e coentros + base fixa</t>
        </is>
      </c>
      <c r="D56" s="33" t="inlineStr">
        <is>
          <t>LEITE (farofa)</t>
        </is>
      </c>
      <c r="E56" s="21" t="inlineStr">
        <is>
          <t>Pressão da Casa</t>
        </is>
      </c>
      <c r="F56" s="34" t="n">
        <v>12.9</v>
      </c>
      <c r="G56" s="19" t="inlineStr">
        <is>
          <t>n/d</t>
        </is>
      </c>
      <c r="H56" s="19" t="inlineStr">
        <is>
          <t>n/d</t>
        </is>
      </c>
      <c r="I56" s="33" t="inlineStr">
        <is>
          <t>SEM CUSTEIO. A "base fixa" continua sem ficha técnica — não sei o que estou a custear. Bloqueio herdado do documento de rotação de PF.</t>
        </is>
      </c>
    </row>
    <row r="57">
      <c r="A57" s="15" t="inlineStr">
        <is>
          <t>Porco à Moda do Chef</t>
        </is>
      </c>
      <c r="B57" s="21" t="inlineStr">
        <is>
          <t>1 dose</t>
        </is>
      </c>
      <c r="C57" s="33" t="inlineStr">
        <is>
          <t>Entremeada, colorau e pimenta dedo-de-moça + base fixa</t>
        </is>
      </c>
      <c r="D57" s="33" t="inlineStr">
        <is>
          <t>LEITE (farofa)</t>
        </is>
      </c>
      <c r="E57" s="21" t="inlineStr">
        <is>
          <t>Copo Cheio</t>
        </is>
      </c>
      <c r="F57" s="34" t="n">
        <v>12.9</v>
      </c>
      <c r="G57" s="19" t="inlineStr">
        <is>
          <t>n/d</t>
        </is>
      </c>
      <c r="H57" s="19" t="inlineStr">
        <is>
          <t>n/d</t>
        </is>
      </c>
      <c r="I57" s="33" t="inlineStr">
        <is>
          <t>SEM CUSTEIO. A "base fixa" continua sem ficha técnica — não sei o que estou a custear. Bloqueio herdado do documento de rotação de PF.</t>
        </is>
      </c>
    </row>
    <row r="58">
      <c r="A58" s="15" t="inlineStr">
        <is>
          <t>Bacalhau à Brás</t>
        </is>
      </c>
      <c r="B58" s="21" t="inlineStr">
        <is>
          <t>1 dose</t>
        </is>
      </c>
      <c r="C58" s="33" t="inlineStr">
        <is>
          <t>Bacalhau desfiado, batata palha, ovo + base fixa</t>
        </is>
      </c>
      <c r="D58" s="33" t="inlineStr">
        <is>
          <t>LEITE (farofa), PEIXE, OVO</t>
        </is>
      </c>
      <c r="E58" s="21" t="inlineStr">
        <is>
          <t>Pressão da Casa</t>
        </is>
      </c>
      <c r="F58" s="34" t="n">
        <v>13.9</v>
      </c>
      <c r="G58" s="19" t="inlineStr">
        <is>
          <t>n/d</t>
        </is>
      </c>
      <c r="H58" s="19" t="inlineStr">
        <is>
          <t>n/d</t>
        </is>
      </c>
      <c r="I58" s="33" t="inlineStr">
        <is>
          <t>SEM CUSTEIO. A "base fixa" continua sem ficha técnica — não sei o que estou a custear. Bloqueio herdado do documento de rotação de PF.</t>
        </is>
      </c>
    </row>
    <row r="59">
      <c r="A59" s="15" t="inlineStr">
        <is>
          <t>Carne de Sol com Mandioca</t>
        </is>
      </c>
      <c r="B59" s="21" t="inlineStr">
        <is>
          <t>1 dose</t>
        </is>
      </c>
      <c r="C59" s="33" t="inlineStr">
        <is>
          <t>Carne de sol dessalgada 12h, grelhada, mandioca cozida, manteiga de garrafa e cebola + base fixa</t>
        </is>
      </c>
      <c r="D59" s="33" t="inlineStr">
        <is>
          <t>LEITE (farofa), LEITE</t>
        </is>
      </c>
      <c r="E59" s="21" t="inlineStr">
        <is>
          <t>Copo Cheio</t>
        </is>
      </c>
      <c r="F59" s="34" t="n">
        <v>13.9</v>
      </c>
      <c r="G59" s="19" t="inlineStr">
        <is>
          <t>n/d</t>
        </is>
      </c>
      <c r="H59" s="19" t="inlineStr">
        <is>
          <t>n/d</t>
        </is>
      </c>
      <c r="I59" s="33" t="inlineStr">
        <is>
          <t>SEM CUSTEIO. A "base fixa" continua sem ficha técnica — não sei o que estou a custear. Bloqueio herdado do documento de rotação de PF.</t>
        </is>
      </c>
    </row>
    <row r="60">
      <c r="A60" s="15" t="inlineStr">
        <is>
          <t>Peixe do Dia</t>
        </is>
      </c>
      <c r="B60" s="21" t="inlineStr">
        <is>
          <t>1 dose</t>
        </is>
      </c>
      <c r="C60" s="33" t="inlineStr">
        <is>
          <t>Peixe fresco de mercado, grelhado ou assado + base fixa</t>
        </is>
      </c>
      <c r="D60" s="33" t="inlineStr">
        <is>
          <t>LEITE (farofa), PEIXE (restantes variam)</t>
        </is>
      </c>
      <c r="E60" s="21" t="inlineStr">
        <is>
          <t>Pressão da Casa</t>
        </is>
      </c>
      <c r="F60" s="21" t="inlineStr">
        <is>
          <t>Preço do dia</t>
        </is>
      </c>
      <c r="G60" s="19" t="inlineStr">
        <is>
          <t>n/d</t>
        </is>
      </c>
      <c r="H60" s="19" t="inlineStr">
        <is>
          <t>n/d</t>
        </is>
      </c>
      <c r="I60" s="33" t="inlineStr">
        <is>
          <t>SEM CUSTEIO. A "base fixa" continua sem ficha técnica — não sei o que estou a custear. Bloqueio herdado do documento de rotação de PF.</t>
        </is>
      </c>
    </row>
    <row r="61">
      <c r="A61" s="25" t="inlineStr">
        <is>
          <t>Frango à Passarinho</t>
        </is>
      </c>
      <c r="B61" s="48" t="inlineStr">
        <is>
          <t>—</t>
        </is>
      </c>
      <c r="C61" s="49" t="inlineStr">
        <is>
          <t>Retirado da rotação de PF</t>
        </is>
      </c>
      <c r="D61" s="49" t="inlineStr">
        <is>
          <t>—</t>
        </is>
      </c>
      <c r="E61" s="48" t="inlineStr">
        <is>
          <t>—</t>
        </is>
      </c>
      <c r="F61" s="48" t="inlineStr">
        <is>
          <t>—</t>
        </is>
      </c>
      <c r="G61" s="19" t="inlineStr">
        <is>
          <t>—</t>
        </is>
      </c>
      <c r="H61" s="19" t="inlineStr">
        <is>
          <t>—</t>
        </is>
      </c>
      <c r="I61" s="49" t="inlineStr">
        <is>
          <t>RETIRADO: satura a fritadeira em pico de almoço e é redundante com o Frango Grelhado. Fica como candidato a petisco de fim de semana.</t>
        </is>
      </c>
    </row>
    <row r="63">
      <c r="A63" s="5" t="inlineStr">
        <is>
          <t>ALMOÇO — SEMPRE DISPONÍVEL</t>
        </is>
      </c>
      <c r="B63" s="14" t="n"/>
      <c r="C63" s="14" t="n"/>
      <c r="D63" s="14" t="n"/>
      <c r="E63" s="14" t="n"/>
      <c r="F63" s="14" t="n"/>
      <c r="G63" s="14" t="n"/>
      <c r="H63" s="14" t="n"/>
      <c r="I63" s="14" t="n"/>
    </row>
    <row r="64">
      <c r="A64" s="43" t="inlineStr">
        <is>
          <t>BITOQUE DA CASA</t>
        </is>
      </c>
      <c r="B64" s="44" t="inlineStr">
        <is>
          <t>1 dose</t>
        </is>
      </c>
      <c r="C64" s="45" t="inlineStr">
        <is>
          <t>Bife de vaca grelhado, ovo estrelado, batatas fritas, arroz branco e molho da casa (manteiga, alho, vinho branco, mostarda). Inclui bebida e café.</t>
        </is>
      </c>
      <c r="D64" s="45" t="inlineStr">
        <is>
          <t>OVO, MOSTARDA, SULFITOS, LEITE</t>
        </is>
      </c>
      <c r="E64" s="44" t="inlineStr">
        <is>
          <t>Noite Fechada</t>
        </is>
      </c>
      <c r="F64" s="46" t="n">
        <v>13.5</v>
      </c>
      <c r="G64" s="47" t="inlineStr">
        <is>
          <t>n/d</t>
        </is>
      </c>
      <c r="H64" s="47" t="inlineStr">
        <is>
          <t>n/d</t>
        </is>
      </c>
      <c r="I64" s="45" t="inlineStr">
        <is>
          <t>MANTIDO A 13,50 € por decisão tua. Consequência assumida: por +0,60 € face ao PF o cliente leva bebida (~2,50 €) e café (1,20 €) — o Bitoque vai absorver quase todo o almoço. Ver folha "Por Resolver": a rotação de PF tem de encolher para 2 pratos/dia ou geramos desperdício.</t>
        </is>
      </c>
    </row>
    <row r="66">
      <c r="A66" s="5" t="inlineStr">
        <is>
          <t>BAR — CERVEJAS DA CASA</t>
        </is>
      </c>
      <c r="B66" s="14" t="n"/>
      <c r="C66" s="14" t="n"/>
      <c r="D66" s="14" t="n"/>
      <c r="E66" s="14" t="n"/>
      <c r="F66" s="14" t="n"/>
      <c r="G66" s="14" t="n"/>
      <c r="H66" s="14" t="n"/>
      <c r="I66" s="14" t="n"/>
    </row>
    <row r="67">
      <c r="A67" s="15" t="inlineStr">
        <is>
          <t>PRESSÃO DA CASA — Lager Artesanal</t>
        </is>
      </c>
      <c r="B67" s="21" t="inlineStr">
        <is>
          <t>33cl</t>
        </is>
      </c>
      <c r="C67" s="33" t="inlineStr">
        <is>
          <t>Leve e cristalina — a sessão sem fim (4,8% ABV)</t>
        </is>
      </c>
      <c r="D67" s="33" t="inlineStr">
        <is>
          <t>GLÚTEN</t>
        </is>
      </c>
      <c r="E67" s="21" t="inlineStr">
        <is>
          <t>—</t>
        </is>
      </c>
      <c r="F67" s="34" t="n">
        <v>3.5</v>
      </c>
      <c r="G67" s="19" t="inlineStr">
        <is>
          <t>n/d</t>
        </is>
      </c>
      <c r="H67" s="19" t="inlineStr">
        <is>
          <t>n/d</t>
        </is>
      </c>
      <c r="I67" s="33" t="inlineStr">
        <is>
          <t>Sem custo de produção por litro em sistema — não consigo validar este preço nem custear os combos com jarro.</t>
        </is>
      </c>
    </row>
    <row r="68">
      <c r="A68" s="15" t="inlineStr">
        <is>
          <t>COPO CHEIO — IPA</t>
        </is>
      </c>
      <c r="B68" s="21" t="inlineStr">
        <is>
          <t>33cl</t>
        </is>
      </c>
      <c r="C68" s="33" t="inlineStr">
        <is>
          <t>Amargor floral, final seco (6,2% ABV)</t>
        </is>
      </c>
      <c r="D68" s="33" t="inlineStr">
        <is>
          <t>GLÚTEN</t>
        </is>
      </c>
      <c r="E68" s="21" t="inlineStr">
        <is>
          <t>—</t>
        </is>
      </c>
      <c r="F68" s="34" t="n">
        <v>4.5</v>
      </c>
      <c r="G68" s="19" t="inlineStr">
        <is>
          <t>n/d</t>
        </is>
      </c>
      <c r="H68" s="19" t="inlineStr">
        <is>
          <t>n/d</t>
        </is>
      </c>
      <c r="I68" s="33" t="inlineStr">
        <is>
          <t>Sem custo de produção por litro em sistema — não consigo validar este preço nem custear os combos com jarro.</t>
        </is>
      </c>
    </row>
    <row r="69">
      <c r="A69" s="15" t="inlineStr">
        <is>
          <t>NOITE FECHADA — Stout</t>
        </is>
      </c>
      <c r="B69" s="21" t="inlineStr">
        <is>
          <t>33cl</t>
        </is>
      </c>
      <c r="C69" s="33" t="inlineStr">
        <is>
          <t>Torrada, encorpada, notas de café (5,6% ABV)</t>
        </is>
      </c>
      <c r="D69" s="33" t="inlineStr">
        <is>
          <t>GLÚTEN</t>
        </is>
      </c>
      <c r="E69" s="21" t="inlineStr">
        <is>
          <t>—</t>
        </is>
      </c>
      <c r="F69" s="34" t="n">
        <v>4.8</v>
      </c>
      <c r="G69" s="19" t="inlineStr">
        <is>
          <t>n/d</t>
        </is>
      </c>
      <c r="H69" s="19" t="inlineStr">
        <is>
          <t>n/d</t>
        </is>
      </c>
      <c r="I69" s="33" t="inlineStr">
        <is>
          <t>Sem custo de produção por litro em sistema — não consigo validar este preço nem custear os combos com jarro.</t>
        </is>
      </c>
    </row>
    <row r="70">
      <c r="A70" s="35" t="inlineStr">
        <is>
          <t>Jarro 1L (qualquer cerveja da casa)</t>
        </is>
      </c>
      <c r="B70" s="50" t="inlineStr">
        <is>
          <t>1L</t>
        </is>
      </c>
      <c r="C70" s="51" t="inlineStr">
        <is>
          <t>Serviço de partilha</t>
        </is>
      </c>
      <c r="D70" s="51" t="inlineStr">
        <is>
          <t>GLÚTEN</t>
        </is>
      </c>
      <c r="E70" s="50" t="inlineStr">
        <is>
          <t>—</t>
        </is>
      </c>
      <c r="F70" s="50" t="inlineStr">
        <is>
          <t>a definir</t>
        </is>
      </c>
      <c r="G70" s="52" t="inlineStr">
        <is>
          <t>n/d</t>
        </is>
      </c>
      <c r="H70" s="52" t="inlineStr">
        <is>
          <t>n/d</t>
        </is>
      </c>
      <c r="I70" s="51" t="inlineStr">
        <is>
          <t>O jarro aparece nos quatro combos mas nunca teve preço próprio na carta. Definir.</t>
        </is>
      </c>
    </row>
    <row r="72">
      <c r="A72" s="5" t="inlineStr">
        <is>
          <t>BAR — REFRIGERANTES E ÁGUAS</t>
        </is>
      </c>
      <c r="B72" s="14" t="n"/>
      <c r="C72" s="14" t="n"/>
      <c r="D72" s="14" t="n"/>
      <c r="E72" s="14" t="n"/>
      <c r="F72" s="14" t="n"/>
      <c r="G72" s="14" t="n"/>
      <c r="H72" s="14" t="n"/>
      <c r="I72" s="14" t="n"/>
    </row>
    <row r="73">
      <c r="A73" s="15" t="inlineStr">
        <is>
          <t>Água sem Gás (33cl)</t>
        </is>
      </c>
      <c r="B73" s="21" t="inlineStr">
        <is>
          <t>—</t>
        </is>
      </c>
      <c r="C73" s="33" t="inlineStr"/>
      <c r="D73" s="33" t="inlineStr">
        <is>
          <t>—</t>
        </is>
      </c>
      <c r="E73" s="21" t="inlineStr">
        <is>
          <t>—</t>
        </is>
      </c>
      <c r="F73" s="34" t="n">
        <v>1.8</v>
      </c>
      <c r="G73" s="19" t="inlineStr">
        <is>
          <t>n/d</t>
        </is>
      </c>
      <c r="H73" s="19" t="inlineStr">
        <is>
          <t>n/d</t>
        </is>
      </c>
      <c r="I73" s="33" t="inlineStr"/>
    </row>
    <row r="74">
      <c r="A74" s="15" t="inlineStr">
        <is>
          <t>Água das Pedras (33cl)</t>
        </is>
      </c>
      <c r="B74" s="21" t="inlineStr">
        <is>
          <t>—</t>
        </is>
      </c>
      <c r="C74" s="33" t="inlineStr"/>
      <c r="D74" s="33" t="inlineStr">
        <is>
          <t>—</t>
        </is>
      </c>
      <c r="E74" s="21" t="inlineStr">
        <is>
          <t>—</t>
        </is>
      </c>
      <c r="F74" s="34" t="n">
        <v>2</v>
      </c>
      <c r="G74" s="19" t="inlineStr">
        <is>
          <t>n/d</t>
        </is>
      </c>
      <c r="H74" s="19" t="inlineStr">
        <is>
          <t>n/d</t>
        </is>
      </c>
      <c r="I74" s="33" t="inlineStr">
        <is>
          <t>Custo em sistema: 0,25 € → FC 12,5%. OK.</t>
        </is>
      </c>
    </row>
    <row r="75">
      <c r="A75" s="15" t="inlineStr">
        <is>
          <t>Coca-Cola / Coca-Cola Zero</t>
        </is>
      </c>
      <c r="B75" s="21" t="inlineStr">
        <is>
          <t>—</t>
        </is>
      </c>
      <c r="C75" s="33" t="inlineStr"/>
      <c r="D75" s="33" t="inlineStr">
        <is>
          <t>—</t>
        </is>
      </c>
      <c r="E75" s="21" t="inlineStr">
        <is>
          <t>—</t>
        </is>
      </c>
      <c r="F75" s="34" t="n">
        <v>2.5</v>
      </c>
      <c r="G75" s="19" t="inlineStr">
        <is>
          <t>n/d</t>
        </is>
      </c>
      <c r="H75" s="19" t="inlineStr">
        <is>
          <t>n/d</t>
        </is>
      </c>
      <c r="I75" s="33" t="inlineStr"/>
    </row>
    <row r="76">
      <c r="A76" s="15" t="inlineStr">
        <is>
          <t>Fanta / Sprite</t>
        </is>
      </c>
      <c r="B76" s="21" t="inlineStr">
        <is>
          <t>—</t>
        </is>
      </c>
      <c r="C76" s="33" t="inlineStr"/>
      <c r="D76" s="33" t="inlineStr">
        <is>
          <t>—</t>
        </is>
      </c>
      <c r="E76" s="21" t="inlineStr">
        <is>
          <t>—</t>
        </is>
      </c>
      <c r="F76" s="34" t="n">
        <v>2.5</v>
      </c>
      <c r="G76" s="19" t="inlineStr">
        <is>
          <t>n/d</t>
        </is>
      </c>
      <c r="H76" s="19" t="inlineStr">
        <is>
          <t>n/d</t>
        </is>
      </c>
      <c r="I76" s="33" t="inlineStr"/>
    </row>
    <row r="77">
      <c r="A77" s="15" t="inlineStr">
        <is>
          <t>Guaraná Antarctica</t>
        </is>
      </c>
      <c r="B77" s="21" t="inlineStr">
        <is>
          <t>—</t>
        </is>
      </c>
      <c r="C77" s="33" t="inlineStr"/>
      <c r="D77" s="33" t="inlineStr">
        <is>
          <t>—</t>
        </is>
      </c>
      <c r="E77" s="21" t="inlineStr">
        <is>
          <t>—</t>
        </is>
      </c>
      <c r="F77" s="34" t="n">
        <v>2.8</v>
      </c>
      <c r="G77" s="19" t="inlineStr">
        <is>
          <t>n/d</t>
        </is>
      </c>
      <c r="H77" s="19" t="inlineStr">
        <is>
          <t>n/d</t>
        </is>
      </c>
      <c r="I77" s="33" t="inlineStr"/>
    </row>
    <row r="78">
      <c r="A78" s="15" t="inlineStr">
        <is>
          <t>Ice Tea</t>
        </is>
      </c>
      <c r="B78" s="21" t="inlineStr">
        <is>
          <t>—</t>
        </is>
      </c>
      <c r="C78" s="33" t="inlineStr"/>
      <c r="D78" s="33" t="inlineStr">
        <is>
          <t>—</t>
        </is>
      </c>
      <c r="E78" s="21" t="inlineStr">
        <is>
          <t>—</t>
        </is>
      </c>
      <c r="F78" s="34" t="n">
        <v>2.5</v>
      </c>
      <c r="G78" s="19" t="inlineStr">
        <is>
          <t>n/d</t>
        </is>
      </c>
      <c r="H78" s="19" t="inlineStr">
        <is>
          <t>n/d</t>
        </is>
      </c>
      <c r="I78" s="33" t="inlineStr"/>
    </row>
    <row r="79">
      <c r="A79" s="35" t="inlineStr">
        <is>
          <t>Ucal (Citrino)</t>
        </is>
      </c>
      <c r="B79" s="50" t="inlineStr">
        <is>
          <t>—</t>
        </is>
      </c>
      <c r="C79" s="51" t="inlineStr"/>
      <c r="D79" s="51" t="inlineStr">
        <is>
          <t>—</t>
        </is>
      </c>
      <c r="E79" s="50" t="inlineStr">
        <is>
          <t>—</t>
        </is>
      </c>
      <c r="F79" s="53" t="n">
        <v>2.2</v>
      </c>
      <c r="G79" s="52" t="inlineStr">
        <is>
          <t>n/d</t>
        </is>
      </c>
      <c r="H79" s="52" t="inlineStr">
        <is>
          <t>n/d</t>
        </is>
      </c>
      <c r="I79" s="51" t="inlineStr">
        <is>
          <t>PREÇO DEFINIDO POR MIM (estava "a confirmar"). Alinhado com o Guaraná, que é o comparável de referência. Ajusta se o custo de compra não bater.</t>
        </is>
      </c>
    </row>
    <row r="81">
      <c r="A81" s="5" t="inlineStr">
        <is>
          <t>BAR — SUMOS</t>
        </is>
      </c>
      <c r="B81" s="14" t="n"/>
      <c r="C81" s="14" t="n"/>
      <c r="D81" s="14" t="n"/>
      <c r="E81" s="14" t="n"/>
      <c r="F81" s="14" t="n"/>
      <c r="G81" s="14" t="n"/>
      <c r="H81" s="14" t="n"/>
      <c r="I81" s="14" t="n"/>
    </row>
    <row r="82">
      <c r="A82" s="15" t="inlineStr">
        <is>
          <t>Sumo de Laranja Natural</t>
        </is>
      </c>
      <c r="B82" s="21" t="inlineStr">
        <is>
          <t>—</t>
        </is>
      </c>
      <c r="C82" s="33" t="inlineStr"/>
      <c r="D82" s="33" t="inlineStr">
        <is>
          <t>—</t>
        </is>
      </c>
      <c r="E82" s="21" t="inlineStr">
        <is>
          <t>—</t>
        </is>
      </c>
      <c r="F82" s="34" t="n">
        <v>3</v>
      </c>
      <c r="G82" s="19" t="inlineStr">
        <is>
          <t>n/d</t>
        </is>
      </c>
      <c r="H82" s="19" t="inlineStr">
        <is>
          <t>n/d</t>
        </is>
      </c>
      <c r="I82" s="33" t="inlineStr">
        <is>
          <t>FC 35% — o mais alto das bebidas. Três laranjas por copo. Vigiar o preço da laranja no inverno.</t>
        </is>
      </c>
    </row>
    <row r="83">
      <c r="A83" s="15" t="inlineStr">
        <is>
          <t>Sumo de Manga/Maracujá Natural</t>
        </is>
      </c>
      <c r="B83" s="21" t="inlineStr">
        <is>
          <t>—</t>
        </is>
      </c>
      <c r="C83" s="33" t="inlineStr"/>
      <c r="D83" s="33" t="inlineStr">
        <is>
          <t>—</t>
        </is>
      </c>
      <c r="E83" s="21" t="inlineStr">
        <is>
          <t>—</t>
        </is>
      </c>
      <c r="F83" s="34" t="n">
        <v>3.5</v>
      </c>
      <c r="G83" s="19" t="inlineStr">
        <is>
          <t>n/d</t>
        </is>
      </c>
      <c r="H83" s="19" t="inlineStr">
        <is>
          <t>n/d</t>
        </is>
      </c>
      <c r="I83" s="33" t="inlineStr"/>
    </row>
    <row r="84">
      <c r="A84" s="15" t="inlineStr">
        <is>
          <t>Sumo de Ananás</t>
        </is>
      </c>
      <c r="B84" s="21" t="inlineStr">
        <is>
          <t>—</t>
        </is>
      </c>
      <c r="C84" s="33" t="inlineStr"/>
      <c r="D84" s="33" t="inlineStr">
        <is>
          <t>—</t>
        </is>
      </c>
      <c r="E84" s="21" t="inlineStr">
        <is>
          <t>—</t>
        </is>
      </c>
      <c r="F84" s="34" t="n">
        <v>3</v>
      </c>
      <c r="G84" s="19" t="inlineStr">
        <is>
          <t>n/d</t>
        </is>
      </c>
      <c r="H84" s="19" t="inlineStr">
        <is>
          <t>n/d</t>
        </is>
      </c>
      <c r="I84" s="33" t="inlineStr"/>
    </row>
    <row r="85">
      <c r="A85" s="15" t="inlineStr">
        <is>
          <t>Néctar de Pêssego/Maçã</t>
        </is>
      </c>
      <c r="B85" s="21" t="inlineStr">
        <is>
          <t>—</t>
        </is>
      </c>
      <c r="C85" s="33" t="inlineStr"/>
      <c r="D85" s="33" t="inlineStr">
        <is>
          <t>—</t>
        </is>
      </c>
      <c r="E85" s="21" t="inlineStr">
        <is>
          <t>—</t>
        </is>
      </c>
      <c r="F85" s="34" t="n">
        <v>2.5</v>
      </c>
      <c r="G85" s="19" t="inlineStr">
        <is>
          <t>n/d</t>
        </is>
      </c>
      <c r="H85" s="19" t="inlineStr">
        <is>
          <t>n/d</t>
        </is>
      </c>
      <c r="I85" s="33" t="inlineStr"/>
    </row>
    <row r="87">
      <c r="A87" s="5" t="inlineStr">
        <is>
          <t>BAR — VINHOS</t>
        </is>
      </c>
      <c r="B87" s="14" t="n"/>
      <c r="C87" s="14" t="n"/>
      <c r="D87" s="14" t="n"/>
      <c r="E87" s="14" t="n"/>
      <c r="F87" s="14" t="n"/>
      <c r="G87" s="14" t="n"/>
      <c r="H87" s="14" t="n"/>
      <c r="I87" s="14" t="n"/>
    </row>
    <row r="88">
      <c r="A88" s="15" t="inlineStr">
        <is>
          <t>Vinho Verde (Copo)</t>
        </is>
      </c>
      <c r="B88" s="21" t="inlineStr">
        <is>
          <t>—</t>
        </is>
      </c>
      <c r="C88" s="33" t="inlineStr"/>
      <c r="D88" s="33" t="inlineStr">
        <is>
          <t>SULFITOS</t>
        </is>
      </c>
      <c r="E88" s="21" t="inlineStr">
        <is>
          <t>—</t>
        </is>
      </c>
      <c r="F88" s="34" t="n">
        <v>3.5</v>
      </c>
      <c r="G88" s="19" t="inlineStr">
        <is>
          <t>n/d</t>
        </is>
      </c>
      <c r="H88" s="19" t="inlineStr">
        <is>
          <t>n/d</t>
        </is>
      </c>
      <c r="I88" s="33" t="inlineStr"/>
    </row>
    <row r="89">
      <c r="A89" s="15" t="inlineStr">
        <is>
          <t>Vinho Verde (Garrafa)</t>
        </is>
      </c>
      <c r="B89" s="21" t="inlineStr">
        <is>
          <t>—</t>
        </is>
      </c>
      <c r="C89" s="33" t="inlineStr"/>
      <c r="D89" s="33" t="inlineStr">
        <is>
          <t>SULFITOS</t>
        </is>
      </c>
      <c r="E89" s="21" t="inlineStr">
        <is>
          <t>—</t>
        </is>
      </c>
      <c r="F89" s="34" t="n">
        <v>16</v>
      </c>
      <c r="G89" s="19" t="inlineStr">
        <is>
          <t>n/d</t>
        </is>
      </c>
      <c r="H89" s="19" t="inlineStr">
        <is>
          <t>n/d</t>
        </is>
      </c>
      <c r="I89" s="33" t="inlineStr"/>
    </row>
    <row r="90">
      <c r="A90" s="15" t="inlineStr">
        <is>
          <t>Branco da Casa (Copo)</t>
        </is>
      </c>
      <c r="B90" s="21" t="inlineStr">
        <is>
          <t>—</t>
        </is>
      </c>
      <c r="C90" s="33" t="inlineStr"/>
      <c r="D90" s="33" t="inlineStr">
        <is>
          <t>SULFITOS</t>
        </is>
      </c>
      <c r="E90" s="21" t="inlineStr">
        <is>
          <t>—</t>
        </is>
      </c>
      <c r="F90" s="34" t="n">
        <v>3.5</v>
      </c>
      <c r="G90" s="19" t="inlineStr">
        <is>
          <t>n/d</t>
        </is>
      </c>
      <c r="H90" s="19" t="inlineStr">
        <is>
          <t>n/d</t>
        </is>
      </c>
      <c r="I90" s="33" t="inlineStr"/>
    </row>
    <row r="91">
      <c r="A91" s="15" t="inlineStr">
        <is>
          <t>Branco da Casa (Garrafa)</t>
        </is>
      </c>
      <c r="B91" s="21" t="inlineStr">
        <is>
          <t>—</t>
        </is>
      </c>
      <c r="C91" s="33" t="inlineStr"/>
      <c r="D91" s="33" t="inlineStr">
        <is>
          <t>SULFITOS</t>
        </is>
      </c>
      <c r="E91" s="21" t="inlineStr">
        <is>
          <t>—</t>
        </is>
      </c>
      <c r="F91" s="34" t="n">
        <v>16</v>
      </c>
      <c r="G91" s="19" t="inlineStr">
        <is>
          <t>n/d</t>
        </is>
      </c>
      <c r="H91" s="19" t="inlineStr">
        <is>
          <t>n/d</t>
        </is>
      </c>
      <c r="I91" s="33" t="inlineStr"/>
    </row>
    <row r="92">
      <c r="A92" s="15" t="inlineStr">
        <is>
          <t>Tinto da Casa (Copo)</t>
        </is>
      </c>
      <c r="B92" s="21" t="inlineStr">
        <is>
          <t>—</t>
        </is>
      </c>
      <c r="C92" s="33" t="inlineStr"/>
      <c r="D92" s="33" t="inlineStr">
        <is>
          <t>SULFITOS</t>
        </is>
      </c>
      <c r="E92" s="21" t="inlineStr">
        <is>
          <t>—</t>
        </is>
      </c>
      <c r="F92" s="34" t="n">
        <v>3.8</v>
      </c>
      <c r="G92" s="19" t="inlineStr">
        <is>
          <t>n/d</t>
        </is>
      </c>
      <c r="H92" s="19" t="inlineStr">
        <is>
          <t>n/d</t>
        </is>
      </c>
      <c r="I92" s="33" t="inlineStr"/>
    </row>
    <row r="93">
      <c r="A93" s="15" t="inlineStr">
        <is>
          <t>Tinto da Casa (Garrafa)</t>
        </is>
      </c>
      <c r="B93" s="21" t="inlineStr">
        <is>
          <t>—</t>
        </is>
      </c>
      <c r="C93" s="33" t="inlineStr"/>
      <c r="D93" s="33" t="inlineStr">
        <is>
          <t>SULFITOS</t>
        </is>
      </c>
      <c r="E93" s="21" t="inlineStr">
        <is>
          <t>—</t>
        </is>
      </c>
      <c r="F93" s="34" t="n">
        <v>17</v>
      </c>
      <c r="G93" s="19" t="inlineStr">
        <is>
          <t>n/d</t>
        </is>
      </c>
      <c r="H93" s="19" t="inlineStr">
        <is>
          <t>n/d</t>
        </is>
      </c>
      <c r="I93" s="33" t="inlineStr"/>
    </row>
    <row r="94">
      <c r="A94" s="15" t="inlineStr">
        <is>
          <t>Rosé (Copo)</t>
        </is>
      </c>
      <c r="B94" s="21" t="inlineStr">
        <is>
          <t>—</t>
        </is>
      </c>
      <c r="C94" s="33" t="inlineStr"/>
      <c r="D94" s="33" t="inlineStr">
        <is>
          <t>SULFITOS</t>
        </is>
      </c>
      <c r="E94" s="21" t="inlineStr">
        <is>
          <t>—</t>
        </is>
      </c>
      <c r="F94" s="34" t="n">
        <v>3.8</v>
      </c>
      <c r="G94" s="19" t="inlineStr">
        <is>
          <t>n/d</t>
        </is>
      </c>
      <c r="H94" s="19" t="inlineStr">
        <is>
          <t>n/d</t>
        </is>
      </c>
      <c r="I94" s="33" t="inlineStr"/>
    </row>
    <row r="95">
      <c r="A95" s="15" t="inlineStr">
        <is>
          <t>Rosé (Garrafa)</t>
        </is>
      </c>
      <c r="B95" s="21" t="inlineStr">
        <is>
          <t>—</t>
        </is>
      </c>
      <c r="C95" s="33" t="inlineStr"/>
      <c r="D95" s="33" t="inlineStr">
        <is>
          <t>SULFITOS</t>
        </is>
      </c>
      <c r="E95" s="21" t="inlineStr">
        <is>
          <t>—</t>
        </is>
      </c>
      <c r="F95" s="34" t="n">
        <v>17</v>
      </c>
      <c r="G95" s="19" t="inlineStr">
        <is>
          <t>n/d</t>
        </is>
      </c>
      <c r="H95" s="19" t="inlineStr">
        <is>
          <t>n/d</t>
        </is>
      </c>
      <c r="I95" s="33" t="inlineStr"/>
    </row>
    <row r="96">
      <c r="A96" s="15" t="inlineStr">
        <is>
          <t>Espumante Bruto (Copo)</t>
        </is>
      </c>
      <c r="B96" s="21" t="inlineStr">
        <is>
          <t>—</t>
        </is>
      </c>
      <c r="C96" s="33" t="inlineStr"/>
      <c r="D96" s="33" t="inlineStr">
        <is>
          <t>SULFITOS</t>
        </is>
      </c>
      <c r="E96" s="21" t="inlineStr">
        <is>
          <t>—</t>
        </is>
      </c>
      <c r="F96" s="34" t="n">
        <v>4.5</v>
      </c>
      <c r="G96" s="19" t="inlineStr">
        <is>
          <t>n/d</t>
        </is>
      </c>
      <c r="H96" s="19" t="inlineStr">
        <is>
          <t>n/d</t>
        </is>
      </c>
      <c r="I96" s="33" t="inlineStr"/>
    </row>
    <row r="97">
      <c r="A97" s="15" t="inlineStr">
        <is>
          <t>Espumante Bruto (Garrafa)</t>
        </is>
      </c>
      <c r="B97" s="21" t="inlineStr">
        <is>
          <t>—</t>
        </is>
      </c>
      <c r="C97" s="33" t="inlineStr"/>
      <c r="D97" s="33" t="inlineStr">
        <is>
          <t>SULFITOS</t>
        </is>
      </c>
      <c r="E97" s="21" t="inlineStr">
        <is>
          <t>—</t>
        </is>
      </c>
      <c r="F97" s="34" t="n">
        <v>22</v>
      </c>
      <c r="G97" s="19" t="inlineStr">
        <is>
          <t>n/d</t>
        </is>
      </c>
      <c r="H97" s="19" t="inlineStr">
        <is>
          <t>n/d</t>
        </is>
      </c>
      <c r="I97" s="33" t="inlineStr"/>
    </row>
    <row r="99">
      <c r="A99" s="5" t="inlineStr">
        <is>
          <t>BAR — ESPIRITUOSAS E DESTILADOS</t>
        </is>
      </c>
      <c r="B99" s="14" t="n"/>
      <c r="C99" s="14" t="n"/>
      <c r="D99" s="14" t="n"/>
      <c r="E99" s="14" t="n"/>
      <c r="F99" s="14" t="n"/>
      <c r="G99" s="14" t="n"/>
      <c r="H99" s="14" t="n"/>
      <c r="I99" s="14" t="n"/>
    </row>
    <row r="100">
      <c r="A100" s="15" t="inlineStr">
        <is>
          <t>Gin Nacional + Tónica</t>
        </is>
      </c>
      <c r="B100" s="21" t="inlineStr">
        <is>
          <t>dose</t>
        </is>
      </c>
      <c r="C100" s="33" t="inlineStr"/>
      <c r="D100" s="33" t="inlineStr">
        <is>
          <t>—</t>
        </is>
      </c>
      <c r="E100" s="21" t="inlineStr">
        <is>
          <t>—</t>
        </is>
      </c>
      <c r="F100" s="34" t="n">
        <v>8</v>
      </c>
      <c r="G100" s="19" t="inlineStr">
        <is>
          <t>n/d</t>
        </is>
      </c>
      <c r="H100" s="19" t="inlineStr">
        <is>
          <t>n/d</t>
        </is>
      </c>
      <c r="I100" s="33" t="inlineStr"/>
    </row>
    <row r="101">
      <c r="A101" s="15" t="inlineStr">
        <is>
          <t>Gin Premium + Tónica</t>
        </is>
      </c>
      <c r="B101" s="21" t="inlineStr">
        <is>
          <t>dose</t>
        </is>
      </c>
      <c r="C101" s="33" t="inlineStr"/>
      <c r="D101" s="33" t="inlineStr">
        <is>
          <t>—</t>
        </is>
      </c>
      <c r="E101" s="21" t="inlineStr">
        <is>
          <t>—</t>
        </is>
      </c>
      <c r="F101" s="34" t="n">
        <v>10</v>
      </c>
      <c r="G101" s="19" t="inlineStr">
        <is>
          <t>n/d</t>
        </is>
      </c>
      <c r="H101" s="19" t="inlineStr">
        <is>
          <t>n/d</t>
        </is>
      </c>
      <c r="I101" s="33" t="inlineStr"/>
    </row>
    <row r="102">
      <c r="A102" s="15" t="inlineStr">
        <is>
          <t>Vodka</t>
        </is>
      </c>
      <c r="B102" s="21" t="inlineStr">
        <is>
          <t>dose</t>
        </is>
      </c>
      <c r="C102" s="33" t="inlineStr"/>
      <c r="D102" s="33" t="inlineStr">
        <is>
          <t>—</t>
        </is>
      </c>
      <c r="E102" s="21" t="inlineStr">
        <is>
          <t>—</t>
        </is>
      </c>
      <c r="F102" s="34" t="n">
        <v>5</v>
      </c>
      <c r="G102" s="19" t="inlineStr">
        <is>
          <t>n/d</t>
        </is>
      </c>
      <c r="H102" s="19" t="inlineStr">
        <is>
          <t>n/d</t>
        </is>
      </c>
      <c r="I102" s="33" t="inlineStr"/>
    </row>
    <row r="103">
      <c r="A103" s="15" t="inlineStr">
        <is>
          <t>Whisky (Blend Nacional)</t>
        </is>
      </c>
      <c r="B103" s="21" t="inlineStr">
        <is>
          <t>dose</t>
        </is>
      </c>
      <c r="C103" s="33" t="inlineStr"/>
      <c r="D103" s="33" t="inlineStr">
        <is>
          <t>—</t>
        </is>
      </c>
      <c r="E103" s="21" t="inlineStr">
        <is>
          <t>—</t>
        </is>
      </c>
      <c r="F103" s="34" t="n">
        <v>5.5</v>
      </c>
      <c r="G103" s="19" t="inlineStr">
        <is>
          <t>n/d</t>
        </is>
      </c>
      <c r="H103" s="19" t="inlineStr">
        <is>
          <t>n/d</t>
        </is>
      </c>
      <c r="I103" s="33" t="inlineStr"/>
    </row>
    <row r="104">
      <c r="A104" s="15" t="inlineStr">
        <is>
          <t>Whisky Premium (Single Malt)</t>
        </is>
      </c>
      <c r="B104" s="21" t="inlineStr">
        <is>
          <t>dose</t>
        </is>
      </c>
      <c r="C104" s="33" t="inlineStr"/>
      <c r="D104" s="33" t="inlineStr">
        <is>
          <t>—</t>
        </is>
      </c>
      <c r="E104" s="21" t="inlineStr">
        <is>
          <t>—</t>
        </is>
      </c>
      <c r="F104" s="34" t="n">
        <v>8.5</v>
      </c>
      <c r="G104" s="19" t="inlineStr">
        <is>
          <t>n/d</t>
        </is>
      </c>
      <c r="H104" s="19" t="inlineStr">
        <is>
          <t>n/d</t>
        </is>
      </c>
      <c r="I104" s="33" t="inlineStr"/>
    </row>
    <row r="105">
      <c r="A105" s="15" t="inlineStr">
        <is>
          <t>Rum Branco/Dourado</t>
        </is>
      </c>
      <c r="B105" s="21" t="inlineStr">
        <is>
          <t>dose</t>
        </is>
      </c>
      <c r="C105" s="33" t="inlineStr"/>
      <c r="D105" s="33" t="inlineStr">
        <is>
          <t>—</t>
        </is>
      </c>
      <c r="E105" s="21" t="inlineStr">
        <is>
          <t>—</t>
        </is>
      </c>
      <c r="F105" s="34" t="n">
        <v>5.5</v>
      </c>
      <c r="G105" s="19" t="inlineStr">
        <is>
          <t>n/d</t>
        </is>
      </c>
      <c r="H105" s="19" t="inlineStr">
        <is>
          <t>n/d</t>
        </is>
      </c>
      <c r="I105" s="33" t="inlineStr"/>
    </row>
    <row r="106">
      <c r="A106" s="15" t="inlineStr">
        <is>
          <t>Cachaça</t>
        </is>
      </c>
      <c r="B106" s="21" t="inlineStr">
        <is>
          <t>dose</t>
        </is>
      </c>
      <c r="C106" s="33" t="inlineStr"/>
      <c r="D106" s="33" t="inlineStr">
        <is>
          <t>—</t>
        </is>
      </c>
      <c r="E106" s="21" t="inlineStr">
        <is>
          <t>—</t>
        </is>
      </c>
      <c r="F106" s="34" t="n">
        <v>4.5</v>
      </c>
      <c r="G106" s="19" t="inlineStr">
        <is>
          <t>n/d</t>
        </is>
      </c>
      <c r="H106" s="19" t="inlineStr">
        <is>
          <t>n/d</t>
        </is>
      </c>
      <c r="I106" s="33" t="inlineStr"/>
    </row>
    <row r="107">
      <c r="A107" s="15" t="inlineStr">
        <is>
          <t>Tequila</t>
        </is>
      </c>
      <c r="B107" s="21" t="inlineStr">
        <is>
          <t>dose</t>
        </is>
      </c>
      <c r="C107" s="33" t="inlineStr"/>
      <c r="D107" s="33" t="inlineStr">
        <is>
          <t>—</t>
        </is>
      </c>
      <c r="E107" s="21" t="inlineStr">
        <is>
          <t>—</t>
        </is>
      </c>
      <c r="F107" s="34" t="n">
        <v>5.5</v>
      </c>
      <c r="G107" s="19" t="inlineStr">
        <is>
          <t>n/d</t>
        </is>
      </c>
      <c r="H107" s="19" t="inlineStr">
        <is>
          <t>n/d</t>
        </is>
      </c>
      <c r="I107" s="33" t="inlineStr"/>
    </row>
    <row r="109">
      <c r="A109" s="5" t="inlineStr">
        <is>
          <t>BAR — DIGESTIVOS E LICORES</t>
        </is>
      </c>
      <c r="B109" s="14" t="n"/>
      <c r="C109" s="14" t="n"/>
      <c r="D109" s="14" t="n"/>
      <c r="E109" s="14" t="n"/>
      <c r="F109" s="14" t="n"/>
      <c r="G109" s="14" t="n"/>
      <c r="H109" s="14" t="n"/>
      <c r="I109" s="14" t="n"/>
    </row>
    <row r="110">
      <c r="A110" s="15" t="inlineStr">
        <is>
          <t>Ginjinha</t>
        </is>
      </c>
      <c r="B110" s="21" t="inlineStr">
        <is>
          <t>dose</t>
        </is>
      </c>
      <c r="C110" s="33" t="inlineStr"/>
      <c r="D110" s="33" t="inlineStr">
        <is>
          <t>SULFITOS</t>
        </is>
      </c>
      <c r="E110" s="21" t="inlineStr">
        <is>
          <t>—</t>
        </is>
      </c>
      <c r="F110" s="34" t="n">
        <v>3.5</v>
      </c>
      <c r="G110" s="19" t="inlineStr">
        <is>
          <t>n/d</t>
        </is>
      </c>
      <c r="H110" s="19" t="inlineStr">
        <is>
          <t>n/d</t>
        </is>
      </c>
      <c r="I110" s="33" t="inlineStr"/>
    </row>
    <row r="111">
      <c r="A111" s="15" t="inlineStr">
        <is>
          <t>Licor Beirão</t>
        </is>
      </c>
      <c r="B111" s="21" t="inlineStr">
        <is>
          <t>dose</t>
        </is>
      </c>
      <c r="C111" s="33" t="inlineStr"/>
      <c r="D111" s="33" t="inlineStr">
        <is>
          <t>—</t>
        </is>
      </c>
      <c r="E111" s="21" t="inlineStr">
        <is>
          <t>—</t>
        </is>
      </c>
      <c r="F111" s="34" t="n">
        <v>3.5</v>
      </c>
      <c r="G111" s="19" t="inlineStr">
        <is>
          <t>n/d</t>
        </is>
      </c>
      <c r="H111" s="19" t="inlineStr">
        <is>
          <t>n/d</t>
        </is>
      </c>
      <c r="I111" s="33" t="inlineStr"/>
    </row>
    <row r="112">
      <c r="A112" s="15" t="inlineStr">
        <is>
          <t>Amaro</t>
        </is>
      </c>
      <c r="B112" s="21" t="inlineStr">
        <is>
          <t>dose</t>
        </is>
      </c>
      <c r="C112" s="33" t="inlineStr"/>
      <c r="D112" s="33" t="inlineStr">
        <is>
          <t>—</t>
        </is>
      </c>
      <c r="E112" s="21" t="inlineStr">
        <is>
          <t>—</t>
        </is>
      </c>
      <c r="F112" s="34" t="n">
        <v>4</v>
      </c>
      <c r="G112" s="19" t="inlineStr">
        <is>
          <t>n/d</t>
        </is>
      </c>
      <c r="H112" s="19" t="inlineStr">
        <is>
          <t>n/d</t>
        </is>
      </c>
      <c r="I112" s="33" t="inlineStr"/>
    </row>
    <row r="113">
      <c r="A113" s="15" t="inlineStr">
        <is>
          <t>Licor 43</t>
        </is>
      </c>
      <c r="B113" s="21" t="inlineStr">
        <is>
          <t>dose</t>
        </is>
      </c>
      <c r="C113" s="33" t="inlineStr"/>
      <c r="D113" s="33" t="inlineStr">
        <is>
          <t>—</t>
        </is>
      </c>
      <c r="E113" s="21" t="inlineStr">
        <is>
          <t>—</t>
        </is>
      </c>
      <c r="F113" s="34" t="n">
        <v>4.5</v>
      </c>
      <c r="G113" s="19" t="inlineStr">
        <is>
          <t>n/d</t>
        </is>
      </c>
      <c r="H113" s="19" t="inlineStr">
        <is>
          <t>n/d</t>
        </is>
      </c>
      <c r="I113" s="33" t="inlineStr"/>
    </row>
    <row r="114">
      <c r="A114" s="15" t="inlineStr">
        <is>
          <t>Baileys</t>
        </is>
      </c>
      <c r="B114" s="21" t="inlineStr">
        <is>
          <t>dose</t>
        </is>
      </c>
      <c r="C114" s="33" t="inlineStr"/>
      <c r="D114" s="33" t="inlineStr">
        <is>
          <t>LEITE</t>
        </is>
      </c>
      <c r="E114" s="21" t="inlineStr">
        <is>
          <t>—</t>
        </is>
      </c>
      <c r="F114" s="34" t="n">
        <v>4.5</v>
      </c>
      <c r="G114" s="19" t="inlineStr">
        <is>
          <t>n/d</t>
        </is>
      </c>
      <c r="H114" s="19" t="inlineStr">
        <is>
          <t>n/d</t>
        </is>
      </c>
      <c r="I114" s="33" t="inlineStr"/>
    </row>
    <row r="115">
      <c r="A115" s="15" t="inlineStr">
        <is>
          <t>Aguardente Velha</t>
        </is>
      </c>
      <c r="B115" s="21" t="inlineStr">
        <is>
          <t>dose</t>
        </is>
      </c>
      <c r="C115" s="33" t="inlineStr"/>
      <c r="D115" s="33" t="inlineStr">
        <is>
          <t>—</t>
        </is>
      </c>
      <c r="E115" s="21" t="inlineStr">
        <is>
          <t>—</t>
        </is>
      </c>
      <c r="F115" s="34" t="n">
        <v>4</v>
      </c>
      <c r="G115" s="19" t="inlineStr">
        <is>
          <t>n/d</t>
        </is>
      </c>
      <c r="H115" s="19" t="inlineStr">
        <is>
          <t>n/d</t>
        </is>
      </c>
      <c r="I115" s="33" t="inlineStr"/>
    </row>
    <row r="116">
      <c r="A116" s="15" t="inlineStr">
        <is>
          <t>Cachaça Envelhecida</t>
        </is>
      </c>
      <c r="B116" s="21" t="inlineStr">
        <is>
          <t>dose</t>
        </is>
      </c>
      <c r="C116" s="33" t="inlineStr"/>
      <c r="D116" s="33" t="inlineStr">
        <is>
          <t>—</t>
        </is>
      </c>
      <c r="E116" s="21" t="inlineStr">
        <is>
          <t>—</t>
        </is>
      </c>
      <c r="F116" s="34" t="n">
        <v>5</v>
      </c>
      <c r="G116" s="19" t="inlineStr">
        <is>
          <t>n/d</t>
        </is>
      </c>
      <c r="H116" s="19" t="inlineStr">
        <is>
          <t>n/d</t>
        </is>
      </c>
      <c r="I116" s="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3" customWidth="1" min="2" max="2"/>
    <col width="13" customWidth="1" min="3" max="3"/>
    <col width="14" customWidth="1" min="4" max="4"/>
    <col width="15" customWidth="1" min="5" max="5"/>
    <col width="14" customWidth="1" min="6" max="6"/>
    <col width="13" customWidth="1" min="7" max="7"/>
    <col width="13" customWidth="1" min="8" max="8"/>
    <col width="14" customWidth="1" min="9" max="9"/>
    <col width="62" customWidth="1" min="10" max="10"/>
  </cols>
  <sheetData>
    <row r="1">
      <c r="A1" s="11" t="inlineStr">
        <is>
          <t>EMENTA DELIVERY — v2 (comissão 30%, markup +43%)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>
      <c r="A2" s="2" t="inlineStr">
        <is>
          <t>Markup calculado em D3 abaixo. Alterar a comissão em B3 recalcula toda a folha.</t>
        </is>
      </c>
    </row>
    <row r="3">
      <c r="A3" s="3" t="inlineStr">
        <is>
          <t>Comissão da plataforma:</t>
        </is>
      </c>
      <c r="B3" s="54" t="n">
        <v>0.3</v>
      </c>
      <c r="C3" s="3" t="inlineStr">
        <is>
          <t>Markup aplicado:</t>
        </is>
      </c>
      <c r="D3" s="55">
        <f>1/(1-B3)-1</f>
        <v>0.4285714286</v>
      </c>
      <c r="E3" s="2" t="inlineStr">
        <is>
          <t>← célula azul = editável</t>
        </is>
      </c>
    </row>
    <row r="4" ht="30" customHeight="1">
      <c r="A4" s="32" t="inlineStr">
        <is>
          <t>Nome</t>
        </is>
      </c>
      <c r="B4" s="32" t="inlineStr">
        <is>
          <t>Disponível</t>
        </is>
      </c>
      <c r="C4" s="32" t="inlineStr">
        <is>
          <t>PVP Balcão (€)</t>
        </is>
      </c>
      <c r="D4" s="32" t="inlineStr">
        <is>
          <t>PVP Delivery (€)</t>
        </is>
      </c>
      <c r="E4" s="32" t="inlineStr">
        <is>
          <t>Líquido após 30% (€)</t>
        </is>
      </c>
      <c r="F4" s="32" t="inlineStr">
        <is>
          <t>Custo comida (€)</t>
        </is>
      </c>
      <c r="G4" s="32" t="inlineStr">
        <is>
          <t>Embalagem (€)</t>
        </is>
      </c>
      <c r="H4" s="32" t="inlineStr">
        <is>
          <t>Custo total (€)</t>
        </is>
      </c>
      <c r="I4" s="32" t="inlineStr">
        <is>
          <t>FC sobre líquido</t>
        </is>
      </c>
      <c r="J4" s="32" t="inlineStr">
        <is>
          <t>Nota</t>
        </is>
      </c>
    </row>
    <row r="5">
      <c r="A5" s="5" t="inlineStr">
        <is>
          <t>PETISCOS — doses e preços já corrigidos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56" t="inlineStr">
        <is>
          <t>Tábua da Casa (2-3 pessoas)</t>
        </is>
      </c>
      <c r="B6" s="22" t="inlineStr">
        <is>
          <t>Adaptado</t>
        </is>
      </c>
      <c r="C6" s="23" t="n">
        <v>17.9</v>
      </c>
      <c r="D6" s="34">
        <f>ROUND(C6*(1+$D$3),1)</f>
        <v>25.6</v>
      </c>
      <c r="E6" s="18">
        <f>D6*(1-$B$3)</f>
        <v>17.92</v>
      </c>
      <c r="F6" s="57" t="inlineStr"/>
      <c r="G6" s="57" t="inlineStr"/>
      <c r="H6" s="57" t="inlineStr"/>
      <c r="I6" s="57" t="inlineStr">
        <is>
          <t>n/d</t>
        </is>
      </c>
      <c r="J6" s="20" t="inlineStr">
        <is>
          <t>Caixa compartimentada, não a tábua de madeira. Embalagem estimada em 0,90 € — validar. Sem ficha técnica, não custeável.</t>
        </is>
      </c>
    </row>
    <row r="7">
      <c r="A7" s="56" t="inlineStr">
        <is>
          <t>Pastéis de Bacalhau</t>
        </is>
      </c>
      <c r="B7" s="22" t="inlineStr">
        <is>
          <t>Sim</t>
        </is>
      </c>
      <c r="C7" s="23" t="n">
        <v>9.9</v>
      </c>
      <c r="D7" s="34">
        <f>ROUND(C7*(1+$D$3),1)</f>
        <v>14.1</v>
      </c>
      <c r="E7" s="18">
        <f>D7*(1-$B$3)</f>
        <v>9.87</v>
      </c>
      <c r="F7" s="23" t="n">
        <v>3.3</v>
      </c>
      <c r="G7" s="23" t="n">
        <v>0.4</v>
      </c>
      <c r="H7" s="18">
        <f>F7+G7</f>
        <v>3.7</v>
      </c>
      <c r="I7" s="31">
        <f>IFERROR(H7/E7,"")</f>
        <v>0.3748733536</v>
      </c>
      <c r="J7" s="20" t="inlineStr">
        <is>
          <t>Embalagem ventilada, senão amolece.</t>
        </is>
      </c>
    </row>
    <row r="8">
      <c r="A8" s="56" t="inlineStr">
        <is>
          <t>Moelas Estufadas</t>
        </is>
      </c>
      <c r="B8" s="22" t="inlineStr">
        <is>
          <t>Sim</t>
        </is>
      </c>
      <c r="C8" s="23" t="n">
        <v>11.9</v>
      </c>
      <c r="D8" s="34">
        <f>ROUND(C8*(1+$D$3),1)</f>
        <v>17.0</v>
      </c>
      <c r="E8" s="18">
        <f>D8*(1-$B$3)</f>
        <v>11.9</v>
      </c>
      <c r="F8" s="23" t="n">
        <v>1.6</v>
      </c>
      <c r="G8" s="23" t="n">
        <v>0.4</v>
      </c>
      <c r="H8" s="18">
        <f>F8+G8</f>
        <v>2.0</v>
      </c>
      <c r="I8" s="28">
        <f>IFERROR(H8/E8,"")</f>
        <v>0.1680672269</v>
      </c>
      <c r="J8" s="20" t="inlineStr">
        <is>
          <t>Viaja bem, é estufado. Custo de porção por confirmar.</t>
        </is>
      </c>
    </row>
    <row r="9">
      <c r="A9" s="56" t="inlineStr">
        <is>
          <t>Rissóis de Gambas</t>
        </is>
      </c>
      <c r="B9" s="22" t="inlineStr">
        <is>
          <t>Sim</t>
        </is>
      </c>
      <c r="C9" s="23" t="n">
        <v>6.9</v>
      </c>
      <c r="D9" s="34">
        <f>ROUND(C9*(1+$D$3),1)</f>
        <v>9.9</v>
      </c>
      <c r="E9" s="18">
        <f>D9*(1-$B$3)</f>
        <v>6.93</v>
      </c>
      <c r="F9" s="23" t="n">
        <v>2.25</v>
      </c>
      <c r="G9" s="23" t="n">
        <v>0.4</v>
      </c>
      <c r="H9" s="18">
        <f>F9+G9</f>
        <v>2.65</v>
      </c>
      <c r="I9" s="31">
        <f>IFERROR(H9/E9,"")</f>
        <v>0.3823953824</v>
      </c>
      <c r="J9" s="20" t="inlineStr">
        <is>
          <t>Embalagem ventilada.</t>
        </is>
      </c>
    </row>
    <row r="10">
      <c r="A10" s="56" t="inlineStr">
        <is>
          <t>Pica-Pau</t>
        </is>
      </c>
      <c r="B10" s="22" t="inlineStr">
        <is>
          <t>Sim</t>
        </is>
      </c>
      <c r="C10" s="23" t="n">
        <v>14.9</v>
      </c>
      <c r="D10" s="34">
        <f>ROUND(C10*(1+$D$3),1)</f>
        <v>21.3</v>
      </c>
      <c r="E10" s="18">
        <f>D10*(1-$B$3)</f>
        <v>14.91</v>
      </c>
      <c r="F10" s="57" t="inlineStr"/>
      <c r="G10" s="57" t="inlineStr"/>
      <c r="H10" s="57" t="inlineStr"/>
      <c r="I10" s="57" t="inlineStr">
        <is>
          <t>n/d</t>
        </is>
      </c>
      <c r="J10" s="20" t="inlineStr">
        <is>
          <t>Sem ficha técnica.</t>
        </is>
      </c>
    </row>
    <row r="11">
      <c r="A11" s="58" t="inlineStr">
        <is>
          <t>Batatas Fritas com Cheddar e Bacon</t>
        </is>
      </c>
      <c r="B11" s="59" t="inlineStr">
        <is>
          <t>NÃO</t>
        </is>
      </c>
      <c r="C11" s="60" t="n">
        <v>9.9</v>
      </c>
      <c r="D11" s="39">
        <f>ROUND(C11*(1+$D$3),1)</f>
        <v>14.1</v>
      </c>
      <c r="E11" s="40">
        <f>D11*(1-$B$3)</f>
        <v>9.87</v>
      </c>
      <c r="F11" s="60" t="n">
        <v>1.23</v>
      </c>
      <c r="G11" s="60" t="n">
        <v>0.4</v>
      </c>
      <c r="H11" s="40">
        <f>F11+G11</f>
        <v>1.63</v>
      </c>
      <c r="I11" s="41">
        <f>IFERROR(H11/E11,"")</f>
        <v>0.1651469098</v>
      </c>
      <c r="J11" s="61" t="inlineStr">
        <is>
          <t>RETIRADO DO DELIVERY. Batata frita com queijo derretido chega mole e encharcada. É o prato que mais avaliações de 1 estrela gera nas plataformas. Não vale o risco de reputação.</t>
        </is>
      </c>
    </row>
    <row r="12">
      <c r="A12" s="56" t="inlineStr">
        <is>
          <t>Bolinhas de Feijoada</t>
        </is>
      </c>
      <c r="B12" s="22" t="inlineStr">
        <is>
          <t>Sim</t>
        </is>
      </c>
      <c r="C12" s="23" t="n">
        <v>6.9</v>
      </c>
      <c r="D12" s="34">
        <f>ROUND(C12*(1+$D$3),1)</f>
        <v>9.9</v>
      </c>
      <c r="E12" s="18">
        <f>D12*(1-$B$3)</f>
        <v>6.93</v>
      </c>
      <c r="F12" s="23" t="n">
        <v>2.25</v>
      </c>
      <c r="G12" s="23" t="n">
        <v>0.4</v>
      </c>
      <c r="H12" s="18">
        <f>F12+G12</f>
        <v>2.65</v>
      </c>
      <c r="I12" s="31">
        <f>IFERROR(H12/E12,"")</f>
        <v>0.3823953824</v>
      </c>
      <c r="J12" s="20" t="inlineStr">
        <is>
          <t>Embalagem ventilada.</t>
        </is>
      </c>
    </row>
    <row r="13">
      <c r="A13" s="56" t="inlineStr">
        <is>
          <t>Bolinhas de Mandioca com Carne e Queijo</t>
        </is>
      </c>
      <c r="B13" s="22" t="inlineStr">
        <is>
          <t>Sim</t>
        </is>
      </c>
      <c r="C13" s="23" t="n">
        <v>6.9</v>
      </c>
      <c r="D13" s="34">
        <f>ROUND(C13*(1+$D$3),1)</f>
        <v>9.9</v>
      </c>
      <c r="E13" s="18">
        <f>D13*(1-$B$3)</f>
        <v>6.93</v>
      </c>
      <c r="F13" s="23" t="n">
        <v>2.25</v>
      </c>
      <c r="G13" s="23" t="n">
        <v>0.4</v>
      </c>
      <c r="H13" s="18">
        <f>F13+G13</f>
        <v>2.65</v>
      </c>
      <c r="I13" s="31">
        <f>IFERROR(H13/E13,"")</f>
        <v>0.3823953824</v>
      </c>
      <c r="J13" s="20" t="inlineStr">
        <is>
          <t>Embalagem ventilada.</t>
        </is>
      </c>
    </row>
    <row r="14">
      <c r="A14" s="58" t="inlineStr">
        <is>
          <t>Calabresa Acebolada</t>
        </is>
      </c>
      <c r="B14" s="59" t="inlineStr">
        <is>
          <t>BLOQUEADO</t>
        </is>
      </c>
      <c r="C14" s="60" t="n">
        <v>12.9</v>
      </c>
      <c r="D14" s="39">
        <f>ROUND(C14*(1+$D$3),1)</f>
        <v>18.4</v>
      </c>
      <c r="E14" s="40">
        <f>D14*(1-$B$3)</f>
        <v>12.88</v>
      </c>
      <c r="F14" s="60" t="n">
        <v>0.88</v>
      </c>
      <c r="G14" s="60" t="n">
        <v>0.4</v>
      </c>
      <c r="H14" s="40">
        <f>F14+G14</f>
        <v>1.28</v>
      </c>
      <c r="I14" s="41">
        <f>IFERROR(H14/E14,"")</f>
        <v>0.099378882</v>
      </c>
      <c r="J14" s="61" t="inlineStr">
        <is>
          <t>Não publicar: alergénio por confirmar com o fornecedor.</t>
        </is>
      </c>
    </row>
    <row r="15">
      <c r="A15" s="56" t="inlineStr">
        <is>
          <t>Pastéis de Vento (Sortidos)</t>
        </is>
      </c>
      <c r="B15" s="22" t="inlineStr">
        <is>
          <t>Sim</t>
        </is>
      </c>
      <c r="C15" s="23" t="n">
        <v>7.9</v>
      </c>
      <c r="D15" s="34">
        <f>ROUND(C15*(1+$D$3),1)</f>
        <v>11.3</v>
      </c>
      <c r="E15" s="18">
        <f>D15*(1-$B$3)</f>
        <v>7.91</v>
      </c>
      <c r="F15" s="23" t="n">
        <v>2.4</v>
      </c>
      <c r="G15" s="23" t="n">
        <v>0.4</v>
      </c>
      <c r="H15" s="18">
        <f>F15+G15</f>
        <v>2.8</v>
      </c>
      <c r="I15" s="31">
        <f>IFERROR(H15/E15,"")</f>
        <v>0.3539823009</v>
      </c>
      <c r="J15" s="20" t="inlineStr">
        <is>
          <t>Embalagem ventilada. Já com 6 un / 2 recheios.</t>
        </is>
      </c>
    </row>
    <row r="16">
      <c r="A16" s="56" t="inlineStr">
        <is>
          <t>Coxinha de Frango</t>
        </is>
      </c>
      <c r="B16" s="22" t="inlineStr">
        <is>
          <t>Sim</t>
        </is>
      </c>
      <c r="C16" s="23" t="n">
        <v>7.5</v>
      </c>
      <c r="D16" s="34">
        <f>ROUND(C16*(1+$D$3),1)</f>
        <v>10.7</v>
      </c>
      <c r="E16" s="18">
        <f>D16*(1-$B$3)</f>
        <v>7.49</v>
      </c>
      <c r="F16" s="23" t="n">
        <v>2.5</v>
      </c>
      <c r="G16" s="23" t="n">
        <v>0.4</v>
      </c>
      <c r="H16" s="18">
        <f>F16+G16</f>
        <v>2.9</v>
      </c>
      <c r="I16" s="31">
        <f>IFERROR(H16/E16,"")</f>
        <v>0.3871829105</v>
      </c>
      <c r="J16" s="20" t="inlineStr">
        <is>
          <t>Embalagem ventilada.</t>
        </is>
      </c>
    </row>
    <row r="18">
      <c r="A18" s="5" t="inlineStr">
        <is>
          <t>COMBOS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>
      <c r="A19" s="62" t="inlineStr">
        <is>
          <t>SABORES DE PORTUGAL (indiv.)</t>
        </is>
      </c>
      <c r="B19" s="47" t="inlineStr">
        <is>
          <t>Adaptado</t>
        </is>
      </c>
      <c r="C19" s="63" t="n">
        <v>24.5</v>
      </c>
      <c r="D19" s="46">
        <f>ROUND(C19*(1+$D$3),1)</f>
        <v>35.0</v>
      </c>
      <c r="E19" s="64">
        <f>D19*(1-$B$3)</f>
        <v>24.5</v>
      </c>
      <c r="F19" s="65" t="inlineStr"/>
      <c r="G19" s="65" t="inlineStr"/>
      <c r="H19" s="65" t="inlineStr"/>
      <c r="I19" s="65" t="inlineStr">
        <is>
          <t>n/d</t>
        </is>
      </c>
      <c r="J19" s="66" t="inlineStr">
        <is>
          <t>Jarro 1L não é entregável — trocado por garrafa/lata individual, porção para 1 pessoa. Precisa de food cost próprio antes de publicar.</t>
        </is>
      </c>
    </row>
    <row r="20">
      <c r="A20" s="62" t="inlineStr">
        <is>
          <t>BOTECO BRASILEIRO (indiv.)</t>
        </is>
      </c>
      <c r="B20" s="47" t="inlineStr">
        <is>
          <t>Adaptado</t>
        </is>
      </c>
      <c r="C20" s="63" t="n">
        <v>23.5</v>
      </c>
      <c r="D20" s="46">
        <f>ROUND(C20*(1+$D$3),1)</f>
        <v>33.6</v>
      </c>
      <c r="E20" s="64">
        <f>D20*(1-$B$3)</f>
        <v>23.52</v>
      </c>
      <c r="F20" s="65" t="inlineStr"/>
      <c r="G20" s="65" t="inlineStr"/>
      <c r="H20" s="65" t="inlineStr"/>
      <c r="I20" s="65" t="inlineStr">
        <is>
          <t>n/d</t>
        </is>
      </c>
      <c r="J20" s="66" t="inlineStr">
        <is>
          <t>Idem.</t>
        </is>
      </c>
    </row>
    <row r="21">
      <c r="A21" s="62" t="inlineStr">
        <is>
          <t>TÁBUA PARA DOIS (indiv.)</t>
        </is>
      </c>
      <c r="B21" s="47" t="inlineStr">
        <is>
          <t>Adaptado</t>
        </is>
      </c>
      <c r="C21" s="63" t="n">
        <v>27.9</v>
      </c>
      <c r="D21" s="46">
        <f>ROUND(C21*(1+$D$3),1)</f>
        <v>39.9</v>
      </c>
      <c r="E21" s="64">
        <f>D21*(1-$B$3)</f>
        <v>27.93</v>
      </c>
      <c r="F21" s="65" t="inlineStr"/>
      <c r="G21" s="65" t="inlineStr"/>
      <c r="H21" s="65" t="inlineStr"/>
      <c r="I21" s="65" t="inlineStr">
        <is>
          <t>n/d</t>
        </is>
      </c>
      <c r="J21" s="66" t="inlineStr">
        <is>
          <t>Idem.</t>
        </is>
      </c>
    </row>
    <row r="22">
      <c r="A22" s="62" t="inlineStr">
        <is>
          <t>MOELAS E MANDIOCA (indiv.)</t>
        </is>
      </c>
      <c r="B22" s="47" t="inlineStr">
        <is>
          <t>Adaptado</t>
        </is>
      </c>
      <c r="C22" s="63" t="n">
        <v>25.5</v>
      </c>
      <c r="D22" s="46">
        <f>ROUND(C22*(1+$D$3),1)</f>
        <v>36.4</v>
      </c>
      <c r="E22" s="64">
        <f>D22*(1-$B$3)</f>
        <v>25.48</v>
      </c>
      <c r="F22" s="65" t="inlineStr"/>
      <c r="G22" s="65" t="inlineStr"/>
      <c r="H22" s="65" t="inlineStr"/>
      <c r="I22" s="65" t="inlineStr">
        <is>
          <t>n/d</t>
        </is>
      </c>
      <c r="J22" s="66" t="inlineStr">
        <is>
          <t>Idem.</t>
        </is>
      </c>
    </row>
    <row r="24">
      <c r="A24" s="5" t="inlineStr">
        <is>
          <t>PEQUENO-ALMOÇO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</row>
    <row r="25">
      <c r="A25" s="58" t="inlineStr">
        <is>
          <t>Café Expresso</t>
        </is>
      </c>
      <c r="B25" s="59" t="inlineStr">
        <is>
          <t>NÃO</t>
        </is>
      </c>
      <c r="C25" s="60" t="n">
        <v>1.2</v>
      </c>
      <c r="D25" s="39">
        <f>ROUND(C25*(1+$D$3),1)</f>
        <v>1.7</v>
      </c>
      <c r="E25" s="40">
        <f>D25*(1-$B$3)</f>
        <v>1.19</v>
      </c>
      <c r="F25" s="60" t="n">
        <v>0.12</v>
      </c>
      <c r="G25" s="60" t="n">
        <v>0.15</v>
      </c>
      <c r="H25" s="40">
        <f>F25+G25</f>
        <v>0.27</v>
      </c>
      <c r="I25" s="41">
        <f>IFERROR(H25/E25,"")</f>
        <v>0.2268907563</v>
      </c>
      <c r="J25" s="61" t="inlineStr">
        <is>
          <t>RETIRADO. Café entregue por estafeta chega frio — não se entrega café. Só como parte de combo, e mesmo assim é mau serviço.</t>
        </is>
      </c>
    </row>
    <row r="26">
      <c r="A26" s="58" t="inlineStr">
        <is>
          <t>Café Macchiato</t>
        </is>
      </c>
      <c r="B26" s="59" t="inlineStr">
        <is>
          <t>NÃO</t>
        </is>
      </c>
      <c r="C26" s="60" t="n">
        <v>1.4</v>
      </c>
      <c r="D26" s="39">
        <f>ROUND(C26*(1+$D$3),1)</f>
        <v>2.0</v>
      </c>
      <c r="E26" s="40">
        <f>D26*(1-$B$3)</f>
        <v>1.4</v>
      </c>
      <c r="F26" s="60" t="n">
        <v>0.15</v>
      </c>
      <c r="G26" s="60" t="n">
        <v>0.15</v>
      </c>
      <c r="H26" s="40">
        <f>F26+G26</f>
        <v>0.3</v>
      </c>
      <c r="I26" s="41">
        <f>IFERROR(H26/E26,"")</f>
        <v>0.2142857143</v>
      </c>
      <c r="J26" s="61" t="inlineStr">
        <is>
          <t>RETIRADO. Café entregue por estafeta chega frio — não se entrega café. Só como parte de combo, e mesmo assim é mau serviço.</t>
        </is>
      </c>
    </row>
    <row r="27">
      <c r="A27" s="58" t="inlineStr">
        <is>
          <t>Americano</t>
        </is>
      </c>
      <c r="B27" s="59" t="inlineStr">
        <is>
          <t>NÃO</t>
        </is>
      </c>
      <c r="C27" s="60" t="n">
        <v>1.5</v>
      </c>
      <c r="D27" s="39">
        <f>ROUND(C27*(1+$D$3),1)</f>
        <v>2.1</v>
      </c>
      <c r="E27" s="40">
        <f>D27*(1-$B$3)</f>
        <v>1.47</v>
      </c>
      <c r="F27" s="60" t="n">
        <v>0.12</v>
      </c>
      <c r="G27" s="60" t="n">
        <v>0.15</v>
      </c>
      <c r="H27" s="40">
        <f>F27+G27</f>
        <v>0.27</v>
      </c>
      <c r="I27" s="41">
        <f>IFERROR(H27/E27,"")</f>
        <v>0.1836734694</v>
      </c>
      <c r="J27" s="61" t="inlineStr">
        <is>
          <t>RETIRADO. Café entregue por estafeta chega frio — não se entrega café. Só como parte de combo, e mesmo assim é mau serviço.</t>
        </is>
      </c>
    </row>
    <row r="28">
      <c r="A28" s="58" t="inlineStr">
        <is>
          <t>Cappuccino</t>
        </is>
      </c>
      <c r="B28" s="59" t="inlineStr">
        <is>
          <t>NÃO</t>
        </is>
      </c>
      <c r="C28" s="60" t="n">
        <v>1.9</v>
      </c>
      <c r="D28" s="39">
        <f>ROUND(C28*(1+$D$3),1)</f>
        <v>2.7</v>
      </c>
      <c r="E28" s="40">
        <f>D28*(1-$B$3)</f>
        <v>1.89</v>
      </c>
      <c r="F28" s="60" t="n">
        <v>0.2</v>
      </c>
      <c r="G28" s="60" t="n">
        <v>0.15</v>
      </c>
      <c r="H28" s="40">
        <f>F28+G28</f>
        <v>0.35</v>
      </c>
      <c r="I28" s="41">
        <f>IFERROR(H28/E28,"")</f>
        <v>0.1851851852</v>
      </c>
      <c r="J28" s="61" t="inlineStr">
        <is>
          <t>RETIRADO. Café entregue por estafeta chega frio — não se entrega café. Só como parte de combo, e mesmo assim é mau serviço.</t>
        </is>
      </c>
    </row>
    <row r="29">
      <c r="A29" s="58" t="inlineStr">
        <is>
          <t>Galão</t>
        </is>
      </c>
      <c r="B29" s="59" t="inlineStr">
        <is>
          <t>NÃO</t>
        </is>
      </c>
      <c r="C29" s="60" t="n">
        <v>1.8</v>
      </c>
      <c r="D29" s="39">
        <f>ROUND(C29*(1+$D$3),1)</f>
        <v>2.6</v>
      </c>
      <c r="E29" s="40">
        <f>D29*(1-$B$3)</f>
        <v>1.82</v>
      </c>
      <c r="F29" s="60" t="n">
        <v>0.25</v>
      </c>
      <c r="G29" s="60" t="n">
        <v>0.15</v>
      </c>
      <c r="H29" s="40">
        <f>F29+G29</f>
        <v>0.4</v>
      </c>
      <c r="I29" s="41">
        <f>IFERROR(H29/E29,"")</f>
        <v>0.2197802198</v>
      </c>
      <c r="J29" s="61" t="inlineStr">
        <is>
          <t>RETIRADO. Café entregue por estafeta chega frio — não se entrega café. Só como parte de combo, e mesmo assim é mau serviço.</t>
        </is>
      </c>
    </row>
    <row r="30">
      <c r="A30" s="58" t="inlineStr">
        <is>
          <t>Meia de Leite</t>
        </is>
      </c>
      <c r="B30" s="59" t="inlineStr">
        <is>
          <t>NÃO</t>
        </is>
      </c>
      <c r="C30" s="60" t="n">
        <v>1.6</v>
      </c>
      <c r="D30" s="39">
        <f>ROUND(C30*(1+$D$3),1)</f>
        <v>2.3</v>
      </c>
      <c r="E30" s="40">
        <f>D30*(1-$B$3)</f>
        <v>1.61</v>
      </c>
      <c r="F30" s="60" t="n">
        <v>0.25</v>
      </c>
      <c r="G30" s="60" t="n">
        <v>0.15</v>
      </c>
      <c r="H30" s="40">
        <f>F30+G30</f>
        <v>0.4</v>
      </c>
      <c r="I30" s="41">
        <f>IFERROR(H30/E30,"")</f>
        <v>0.248447205</v>
      </c>
      <c r="J30" s="61" t="inlineStr">
        <is>
          <t>RETIRADO. Café entregue por estafeta chega frio — não se entrega café. Só como parte de combo, e mesmo assim é mau serviço.</t>
        </is>
      </c>
    </row>
    <row r="31">
      <c r="A31" s="58" t="inlineStr">
        <is>
          <t>Chá</t>
        </is>
      </c>
      <c r="B31" s="59" t="inlineStr">
        <is>
          <t>NÃO</t>
        </is>
      </c>
      <c r="C31" s="60" t="n">
        <v>1.5</v>
      </c>
      <c r="D31" s="39">
        <f>ROUND(C31*(1+$D$3),1)</f>
        <v>2.1</v>
      </c>
      <c r="E31" s="40">
        <f>D31*(1-$B$3)</f>
        <v>1.47</v>
      </c>
      <c r="F31" s="60" t="n">
        <v>0.08</v>
      </c>
      <c r="G31" s="60" t="n">
        <v>0.15</v>
      </c>
      <c r="H31" s="40">
        <f>F31+G31</f>
        <v>0.23</v>
      </c>
      <c r="I31" s="41">
        <f>IFERROR(H31/E31,"")</f>
        <v>0.156462585</v>
      </c>
      <c r="J31" s="61" t="inlineStr">
        <is>
          <t>RETIRADO. Café entregue por estafeta chega frio — não se entrega café. Só como parte de combo, e mesmo assim é mau serviço.</t>
        </is>
      </c>
    </row>
    <row r="32">
      <c r="A32" s="58" t="inlineStr">
        <is>
          <t>Café Coado (brasileiro)</t>
        </is>
      </c>
      <c r="B32" s="59" t="inlineStr">
        <is>
          <t>NÃO</t>
        </is>
      </c>
      <c r="C32" s="60" t="n">
        <v>2</v>
      </c>
      <c r="D32" s="39">
        <f>ROUND(C32*(1+$D$3),1)</f>
        <v>2.9</v>
      </c>
      <c r="E32" s="40">
        <f>D32*(1-$B$3)</f>
        <v>2.03</v>
      </c>
      <c r="F32" s="60" t="n">
        <v>0.12</v>
      </c>
      <c r="G32" s="60" t="n">
        <v>0.15</v>
      </c>
      <c r="H32" s="40">
        <f>F32+G32</f>
        <v>0.27</v>
      </c>
      <c r="I32" s="41">
        <f>IFERROR(H32/E32,"")</f>
        <v>0.1330049261</v>
      </c>
      <c r="J32" s="61" t="inlineStr">
        <is>
          <t>RETIRADO. Café entregue por estafeta chega frio — não se entrega café. Só como parte de combo, e mesmo assim é mau serviço.</t>
        </is>
      </c>
    </row>
    <row r="33">
      <c r="A33" s="56" t="inlineStr">
        <is>
          <t>Sumo de Laranja Natural</t>
        </is>
      </c>
      <c r="B33" s="22" t="inlineStr">
        <is>
          <t>Sim</t>
        </is>
      </c>
      <c r="C33" s="23" t="n">
        <v>3</v>
      </c>
      <c r="D33" s="34">
        <f>ROUND(C33*(1+$D$3),1)</f>
        <v>4.3</v>
      </c>
      <c r="E33" s="18">
        <f>D33*(1-$B$3)</f>
        <v>3.01</v>
      </c>
      <c r="F33" s="23" t="n">
        <v>1.05</v>
      </c>
      <c r="G33" s="23" t="n">
        <v>0.25</v>
      </c>
      <c r="H33" s="18">
        <f>F33+G33</f>
        <v>1.3</v>
      </c>
      <c r="I33" s="41">
        <f>IFERROR(H33/E33,"")</f>
        <v>0.4318936877</v>
      </c>
      <c r="J33" s="20" t="inlineStr"/>
    </row>
    <row r="34">
      <c r="A34" s="56" t="inlineStr">
        <is>
          <t>Sumo de Manga/Maracujá Natural</t>
        </is>
      </c>
      <c r="B34" s="22" t="inlineStr">
        <is>
          <t>Sim</t>
        </is>
      </c>
      <c r="C34" s="23" t="n">
        <v>3.5</v>
      </c>
      <c r="D34" s="34">
        <f>ROUND(C34*(1+$D$3),1)</f>
        <v>5.0</v>
      </c>
      <c r="E34" s="18">
        <f>D34*(1-$B$3)</f>
        <v>3.5</v>
      </c>
      <c r="F34" s="23" t="n">
        <v>0.55</v>
      </c>
      <c r="G34" s="23" t="n">
        <v>0.25</v>
      </c>
      <c r="H34" s="18">
        <f>F34+G34</f>
        <v>0.8</v>
      </c>
      <c r="I34" s="28">
        <f>IFERROR(H34/E34,"")</f>
        <v>0.2285714286</v>
      </c>
      <c r="J34" s="20" t="inlineStr"/>
    </row>
    <row r="35">
      <c r="A35" s="56" t="inlineStr">
        <is>
          <t>Tosta Simples</t>
        </is>
      </c>
      <c r="B35" s="22" t="inlineStr">
        <is>
          <t>Sim</t>
        </is>
      </c>
      <c r="C35" s="23" t="n">
        <v>2</v>
      </c>
      <c r="D35" s="34">
        <f>ROUND(C35*(1+$D$3),1)</f>
        <v>2.9</v>
      </c>
      <c r="E35" s="18">
        <f>D35*(1-$B$3)</f>
        <v>2.03</v>
      </c>
      <c r="F35" s="23" t="n">
        <v>0.28</v>
      </c>
      <c r="G35" s="23" t="n">
        <v>0.25</v>
      </c>
      <c r="H35" s="18">
        <f>F35+G35</f>
        <v>0.53</v>
      </c>
      <c r="I35" s="28">
        <f>IFERROR(H35/E35,"")</f>
        <v>0.2610837438</v>
      </c>
      <c r="J35" s="20" t="inlineStr"/>
    </row>
    <row r="36">
      <c r="A36" s="56" t="inlineStr">
        <is>
          <t>Tosta Mista</t>
        </is>
      </c>
      <c r="B36" s="22" t="inlineStr">
        <is>
          <t>Sim</t>
        </is>
      </c>
      <c r="C36" s="23" t="n">
        <v>3.5</v>
      </c>
      <c r="D36" s="34">
        <f>ROUND(C36*(1+$D$3),1)</f>
        <v>5.0</v>
      </c>
      <c r="E36" s="18">
        <f>D36*(1-$B$3)</f>
        <v>3.5</v>
      </c>
      <c r="F36" s="23" t="n">
        <v>0.63</v>
      </c>
      <c r="G36" s="23" t="n">
        <v>0.25</v>
      </c>
      <c r="H36" s="18">
        <f>F36+G36</f>
        <v>0.88</v>
      </c>
      <c r="I36" s="28">
        <f>IFERROR(H36/E36,"")</f>
        <v>0.2514285714</v>
      </c>
      <c r="J36" s="20" t="inlineStr"/>
    </row>
    <row r="37">
      <c r="A37" s="56" t="inlineStr">
        <is>
          <t>Croissant Simples</t>
        </is>
      </c>
      <c r="B37" s="22" t="inlineStr">
        <is>
          <t>Sim</t>
        </is>
      </c>
      <c r="C37" s="23" t="n">
        <v>1.8</v>
      </c>
      <c r="D37" s="34">
        <f>ROUND(C37*(1+$D$3),1)</f>
        <v>2.6</v>
      </c>
      <c r="E37" s="18">
        <f>D37*(1-$B$3)</f>
        <v>1.82</v>
      </c>
      <c r="F37" s="23" t="n">
        <v>0.45</v>
      </c>
      <c r="G37" s="23" t="n">
        <v>0.25</v>
      </c>
      <c r="H37" s="18">
        <f>F37+G37</f>
        <v>0.7</v>
      </c>
      <c r="I37" s="31">
        <f>IFERROR(H37/E37,"")</f>
        <v>0.3846153846</v>
      </c>
      <c r="J37" s="20" t="inlineStr"/>
    </row>
    <row r="38">
      <c r="A38" s="56" t="inlineStr">
        <is>
          <t>Croissant Misto</t>
        </is>
      </c>
      <c r="B38" s="22" t="inlineStr">
        <is>
          <t>Sim</t>
        </is>
      </c>
      <c r="C38" s="23" t="n">
        <v>3.2</v>
      </c>
      <c r="D38" s="34">
        <f>ROUND(C38*(1+$D$3),1)</f>
        <v>4.6</v>
      </c>
      <c r="E38" s="18">
        <f>D38*(1-$B$3)</f>
        <v>3.22</v>
      </c>
      <c r="F38" s="23" t="n">
        <v>0.8</v>
      </c>
      <c r="G38" s="23" t="n">
        <v>0.25</v>
      </c>
      <c r="H38" s="18">
        <f>F38+G38</f>
        <v>1.05</v>
      </c>
      <c r="I38" s="28">
        <f>IFERROR(H38/E38,"")</f>
        <v>0.3260869565</v>
      </c>
      <c r="J38" s="20" t="inlineStr"/>
    </row>
    <row r="39">
      <c r="A39" s="56" t="inlineStr">
        <is>
          <t>Pão de Queijo (unidade)</t>
        </is>
      </c>
      <c r="B39" s="22" t="inlineStr">
        <is>
          <t>Sim</t>
        </is>
      </c>
      <c r="C39" s="23" t="n">
        <v>1.2</v>
      </c>
      <c r="D39" s="34">
        <f>ROUND(C39*(1+$D$3),1)</f>
        <v>1.7</v>
      </c>
      <c r="E39" s="18">
        <f>D39*(1-$B$3)</f>
        <v>1.19</v>
      </c>
      <c r="F39" s="23" t="n">
        <v>0.25</v>
      </c>
      <c r="G39" s="23" t="n">
        <v>0.25</v>
      </c>
      <c r="H39" s="18">
        <f>F39+G39</f>
        <v>0.5</v>
      </c>
      <c r="I39" s="41">
        <f>IFERROR(H39/E39,"")</f>
        <v>0.4201680672</v>
      </c>
      <c r="J39" s="20" t="inlineStr"/>
    </row>
    <row r="40">
      <c r="A40" s="56" t="inlineStr">
        <is>
          <t>Pão de Queijo (trio)</t>
        </is>
      </c>
      <c r="B40" s="22" t="inlineStr">
        <is>
          <t>Sim</t>
        </is>
      </c>
      <c r="C40" s="23" t="n">
        <v>3</v>
      </c>
      <c r="D40" s="34">
        <f>ROUND(C40*(1+$D$3),1)</f>
        <v>4.3</v>
      </c>
      <c r="E40" s="18">
        <f>D40*(1-$B$3)</f>
        <v>3.01</v>
      </c>
      <c r="F40" s="23" t="n">
        <v>0.75</v>
      </c>
      <c r="G40" s="23" t="n">
        <v>0.25</v>
      </c>
      <c r="H40" s="18">
        <f>F40+G40</f>
        <v>1.0</v>
      </c>
      <c r="I40" s="28">
        <f>IFERROR(H40/E40,"")</f>
        <v>0.3322259136</v>
      </c>
      <c r="J40" s="20" t="inlineStr"/>
    </row>
    <row r="41">
      <c r="A41" s="56" t="inlineStr">
        <is>
          <t>Torrada de Broa c/ manteiga e queijo fresco</t>
        </is>
      </c>
      <c r="B41" s="22" t="inlineStr">
        <is>
          <t>Sim</t>
        </is>
      </c>
      <c r="C41" s="23" t="n">
        <v>3.8</v>
      </c>
      <c r="D41" s="34">
        <f>ROUND(C41*(1+$D$3),1)</f>
        <v>5.4</v>
      </c>
      <c r="E41" s="18">
        <f>D41*(1-$B$3)</f>
        <v>3.78</v>
      </c>
      <c r="F41" s="23" t="n">
        <v>0.52</v>
      </c>
      <c r="G41" s="23" t="n">
        <v>0.25</v>
      </c>
      <c r="H41" s="18">
        <f>F41+G41</f>
        <v>0.77</v>
      </c>
      <c r="I41" s="28">
        <f>IFERROR(H41/E41,"")</f>
        <v>0.2037037037</v>
      </c>
      <c r="J41" s="20" t="inlineStr"/>
    </row>
    <row r="42">
      <c r="A42" s="56" t="inlineStr">
        <is>
          <t>Ovos Mexidos c/ coentros</t>
        </is>
      </c>
      <c r="B42" s="22" t="inlineStr">
        <is>
          <t>Sim</t>
        </is>
      </c>
      <c r="C42" s="23" t="n">
        <v>4</v>
      </c>
      <c r="D42" s="34">
        <f>ROUND(C42*(1+$D$3),1)</f>
        <v>5.7</v>
      </c>
      <c r="E42" s="18">
        <f>D42*(1-$B$3)</f>
        <v>3.99</v>
      </c>
      <c r="F42" s="23" t="n">
        <v>0.5600000000000001</v>
      </c>
      <c r="G42" s="23" t="n">
        <v>0.25</v>
      </c>
      <c r="H42" s="18">
        <f>F42+G42</f>
        <v>0.81</v>
      </c>
      <c r="I42" s="28">
        <f>IFERROR(H42/E42,"")</f>
        <v>0.2030075188</v>
      </c>
      <c r="J42" s="20" t="inlineStr"/>
    </row>
    <row r="43">
      <c r="A43" s="56" t="inlineStr">
        <is>
          <t>Fruta Fresca da Época</t>
        </is>
      </c>
      <c r="B43" s="22" t="inlineStr">
        <is>
          <t>Sim</t>
        </is>
      </c>
      <c r="C43" s="23" t="n">
        <v>2.5</v>
      </c>
      <c r="D43" s="34">
        <f>ROUND(C43*(1+$D$3),1)</f>
        <v>3.6</v>
      </c>
      <c r="E43" s="18">
        <f>D43*(1-$B$3)</f>
        <v>2.52</v>
      </c>
      <c r="F43" s="23" t="n">
        <v>0.6</v>
      </c>
      <c r="G43" s="23" t="n">
        <v>0.25</v>
      </c>
      <c r="H43" s="18">
        <f>F43+G43</f>
        <v>0.85</v>
      </c>
      <c r="I43" s="28">
        <f>IFERROR(H43/E43,"")</f>
        <v>0.3373015873</v>
      </c>
      <c r="J43" s="20" t="inlineStr"/>
    </row>
    <row r="44">
      <c r="A44" s="56" t="inlineStr">
        <is>
          <t>Abacaxi com Hortelã</t>
        </is>
      </c>
      <c r="B44" s="22" t="inlineStr">
        <is>
          <t>Sim</t>
        </is>
      </c>
      <c r="C44" s="23" t="n">
        <v>3</v>
      </c>
      <c r="D44" s="34">
        <f>ROUND(C44*(1+$D$3),1)</f>
        <v>4.3</v>
      </c>
      <c r="E44" s="18">
        <f>D44*(1-$B$3)</f>
        <v>3.01</v>
      </c>
      <c r="F44" s="23" t="n">
        <v>0.45</v>
      </c>
      <c r="G44" s="23" t="n">
        <v>0.25</v>
      </c>
      <c r="H44" s="18">
        <f>F44+G44</f>
        <v>0.7</v>
      </c>
      <c r="I44" s="28">
        <f>IFERROR(H44/E44,"")</f>
        <v>0.2325581395</v>
      </c>
      <c r="J44" s="20" t="inlineStr"/>
    </row>
    <row r="45">
      <c r="A45" s="56" t="inlineStr">
        <is>
          <t>Bolo da Dona Célia (fatia)</t>
        </is>
      </c>
      <c r="B45" s="22" t="inlineStr">
        <is>
          <t>Sim</t>
        </is>
      </c>
      <c r="C45" s="23" t="n">
        <v>2.8</v>
      </c>
      <c r="D45" s="34">
        <f>ROUND(C45*(1+$D$3),1)</f>
        <v>4.0</v>
      </c>
      <c r="E45" s="18">
        <f>D45*(1-$B$3)</f>
        <v>2.8</v>
      </c>
      <c r="F45" s="57" t="inlineStr"/>
      <c r="G45" s="57" t="inlineStr"/>
      <c r="H45" s="57" t="inlineStr"/>
      <c r="I45" s="57" t="inlineStr">
        <is>
          <t>n/d</t>
        </is>
      </c>
      <c r="J45" s="20" t="inlineStr"/>
    </row>
    <row r="47">
      <c r="A47" s="62" t="inlineStr">
        <is>
          <t>COMBO PORTUGUÊS</t>
        </is>
      </c>
      <c r="B47" s="47" t="inlineStr">
        <is>
          <t>Adaptado</t>
        </is>
      </c>
      <c r="C47" s="63" t="n">
        <v>6.5</v>
      </c>
      <c r="D47" s="46">
        <f>ROUND(C47*(1+$D$3),1)</f>
        <v>9.3</v>
      </c>
      <c r="E47" s="64">
        <f>D47*(1-$B$3)</f>
        <v>6.51</v>
      </c>
      <c r="F47" s="65" t="inlineStr"/>
      <c r="G47" s="65" t="inlineStr"/>
      <c r="H47" s="65" t="inlineStr"/>
      <c r="I47" s="65" t="inlineStr">
        <is>
          <t>n/d</t>
        </is>
      </c>
      <c r="J47" s="66" t="inlineStr">
        <is>
          <t>Contém café — ver nota acima. Reformular o combo sem café ou retirar do delivery.</t>
        </is>
      </c>
    </row>
    <row r="48">
      <c r="A48" s="62" t="inlineStr">
        <is>
          <t>COMBO BRASILEIRO</t>
        </is>
      </c>
      <c r="B48" s="47" t="inlineStr">
        <is>
          <t>Adaptado</t>
        </is>
      </c>
      <c r="C48" s="63" t="n">
        <v>9.5</v>
      </c>
      <c r="D48" s="46">
        <f>ROUND(C48*(1+$D$3),1)</f>
        <v>13.6</v>
      </c>
      <c r="E48" s="64">
        <f>D48*(1-$B$3)</f>
        <v>9.52</v>
      </c>
      <c r="F48" s="65" t="inlineStr"/>
      <c r="G48" s="65" t="inlineStr"/>
      <c r="H48" s="65" t="inlineStr"/>
      <c r="I48" s="65" t="inlineStr">
        <is>
          <t>n/d</t>
        </is>
      </c>
      <c r="J48" s="66" t="inlineStr">
        <is>
          <t>Contém café — ver nota acima. Reformular o combo sem café ou retirar do delivery.</t>
        </is>
      </c>
    </row>
    <row r="49">
      <c r="A49" s="62" t="inlineStr">
        <is>
          <t>COMBO 100PRESSÃO</t>
        </is>
      </c>
      <c r="B49" s="47" t="inlineStr">
        <is>
          <t>Adaptado</t>
        </is>
      </c>
      <c r="C49" s="63" t="n">
        <v>10.5</v>
      </c>
      <c r="D49" s="46">
        <f>ROUND(C49*(1+$D$3),1)</f>
        <v>15.0</v>
      </c>
      <c r="E49" s="64">
        <f>D49*(1-$B$3)</f>
        <v>10.5</v>
      </c>
      <c r="F49" s="65" t="inlineStr"/>
      <c r="G49" s="65" t="inlineStr"/>
      <c r="H49" s="65" t="inlineStr"/>
      <c r="I49" s="65" t="inlineStr">
        <is>
          <t>n/d</t>
        </is>
      </c>
      <c r="J49" s="66" t="inlineStr">
        <is>
          <t>Contém café — ver nota acima. Reformular o combo sem café ou retirar do delivery.</t>
        </is>
      </c>
    </row>
    <row r="51">
      <c r="A51" s="5" t="inlineStr">
        <is>
          <t>ALMOÇO</t>
        </is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</row>
    <row r="52">
      <c r="A52" s="56" t="inlineStr">
        <is>
          <t>Bife Acebolado</t>
        </is>
      </c>
      <c r="B52" s="22" t="inlineStr">
        <is>
          <t>Sim</t>
        </is>
      </c>
      <c r="C52" s="23" t="n">
        <v>12.9</v>
      </c>
      <c r="D52" s="34">
        <f>ROUND(C52*(1+$D$3),1)</f>
        <v>18.4</v>
      </c>
      <c r="E52" s="18">
        <f>D52*(1-$B$3)</f>
        <v>12.88</v>
      </c>
      <c r="F52" s="57" t="inlineStr"/>
      <c r="G52" s="57" t="inlineStr"/>
      <c r="H52" s="57" t="inlineStr"/>
      <c r="I52" s="57" t="inlineStr">
        <is>
          <t>n/d</t>
        </is>
      </c>
      <c r="J52" s="20" t="inlineStr">
        <is>
          <t>Sem custeio — a base fixa continua por definir.</t>
        </is>
      </c>
    </row>
    <row r="53">
      <c r="A53" s="56" t="inlineStr">
        <is>
          <t>Frango Grelhado</t>
        </is>
      </c>
      <c r="B53" s="22" t="inlineStr">
        <is>
          <t>Sim</t>
        </is>
      </c>
      <c r="C53" s="23" t="n">
        <v>12.9</v>
      </c>
      <c r="D53" s="34">
        <f>ROUND(C53*(1+$D$3),1)</f>
        <v>18.4</v>
      </c>
      <c r="E53" s="18">
        <f>D53*(1-$B$3)</f>
        <v>12.88</v>
      </c>
      <c r="F53" s="57" t="inlineStr"/>
      <c r="G53" s="57" t="inlineStr"/>
      <c r="H53" s="57" t="inlineStr"/>
      <c r="I53" s="57" t="inlineStr">
        <is>
          <t>n/d</t>
        </is>
      </c>
      <c r="J53" s="20" t="inlineStr">
        <is>
          <t>Sem custeio — a base fixa continua por definir.</t>
        </is>
      </c>
    </row>
    <row r="54">
      <c r="A54" s="56" t="inlineStr">
        <is>
          <t>Porco à Moda do Chef</t>
        </is>
      </c>
      <c r="B54" s="22" t="inlineStr">
        <is>
          <t>Sim</t>
        </is>
      </c>
      <c r="C54" s="23" t="n">
        <v>12.9</v>
      </c>
      <c r="D54" s="34">
        <f>ROUND(C54*(1+$D$3),1)</f>
        <v>18.4</v>
      </c>
      <c r="E54" s="18">
        <f>D54*(1-$B$3)</f>
        <v>12.88</v>
      </c>
      <c r="F54" s="57" t="inlineStr"/>
      <c r="G54" s="57" t="inlineStr"/>
      <c r="H54" s="57" t="inlineStr"/>
      <c r="I54" s="57" t="inlineStr">
        <is>
          <t>n/d</t>
        </is>
      </c>
      <c r="J54" s="20" t="inlineStr">
        <is>
          <t>Sem custeio — a base fixa continua por definir.</t>
        </is>
      </c>
    </row>
    <row r="55">
      <c r="A55" s="56" t="inlineStr">
        <is>
          <t>Bacalhau à Brás</t>
        </is>
      </c>
      <c r="B55" s="22" t="inlineStr">
        <is>
          <t>Sim</t>
        </is>
      </c>
      <c r="C55" s="23" t="n">
        <v>13.9</v>
      </c>
      <c r="D55" s="34">
        <f>ROUND(C55*(1+$D$3),1)</f>
        <v>19.9</v>
      </c>
      <c r="E55" s="18">
        <f>D55*(1-$B$3)</f>
        <v>13.93</v>
      </c>
      <c r="F55" s="57" t="inlineStr"/>
      <c r="G55" s="57" t="inlineStr"/>
      <c r="H55" s="57" t="inlineStr"/>
      <c r="I55" s="57" t="inlineStr">
        <is>
          <t>n/d</t>
        </is>
      </c>
      <c r="J55" s="20" t="inlineStr">
        <is>
          <t>Sem custeio — a base fixa continua por definir.</t>
        </is>
      </c>
    </row>
    <row r="56">
      <c r="A56" s="56" t="inlineStr">
        <is>
          <t>Carne de Sol com Mandioca</t>
        </is>
      </c>
      <c r="B56" s="22" t="inlineStr">
        <is>
          <t>Sim</t>
        </is>
      </c>
      <c r="C56" s="23" t="n">
        <v>13.9</v>
      </c>
      <c r="D56" s="34">
        <f>ROUND(C56*(1+$D$3),1)</f>
        <v>19.9</v>
      </c>
      <c r="E56" s="18">
        <f>D56*(1-$B$3)</f>
        <v>13.93</v>
      </c>
      <c r="F56" s="57" t="inlineStr"/>
      <c r="G56" s="57" t="inlineStr"/>
      <c r="H56" s="57" t="inlineStr"/>
      <c r="I56" s="57" t="inlineStr">
        <is>
          <t>n/d</t>
        </is>
      </c>
      <c r="J56" s="20" t="inlineStr">
        <is>
          <t>Sem custeio — a base fixa continua por definir.</t>
        </is>
      </c>
    </row>
    <row r="57">
      <c r="A57" s="58" t="inlineStr">
        <is>
          <t>Peixe do Dia</t>
        </is>
      </c>
      <c r="B57" s="59" t="inlineStr">
        <is>
          <t>NÃO</t>
        </is>
      </c>
      <c r="C57" s="37" t="inlineStr">
        <is>
          <t>Preço do dia</t>
        </is>
      </c>
      <c r="D57" s="67" t="inlineStr">
        <is>
          <t>—</t>
        </is>
      </c>
      <c r="E57" s="67" t="inlineStr">
        <is>
          <t>—</t>
        </is>
      </c>
      <c r="F57" s="67" t="inlineStr"/>
      <c r="G57" s="67" t="inlineStr"/>
      <c r="H57" s="67" t="inlineStr"/>
      <c r="I57" s="67" t="inlineStr">
        <is>
          <t>n/d</t>
        </is>
      </c>
      <c r="J57" s="61" t="inlineStr">
        <is>
          <t>RETIRADO DO DELIVERY. As plataformas exigem preço fixo por SKU, e peixe fresco grelhado é o prato que pior viaja da carta inteira. Não vale a pena forçar.</t>
        </is>
      </c>
    </row>
    <row r="58">
      <c r="A58" s="62" t="inlineStr">
        <is>
          <t>BITOQUE DA CASA</t>
        </is>
      </c>
      <c r="B58" s="47" t="inlineStr">
        <is>
          <t>Adaptado</t>
        </is>
      </c>
      <c r="C58" s="63" t="n">
        <v>13.5</v>
      </c>
      <c r="D58" s="46">
        <f>ROUND(C58*(1+$D$3),1)</f>
        <v>19.3</v>
      </c>
      <c r="E58" s="64">
        <f>D58*(1-$B$3)</f>
        <v>13.51</v>
      </c>
      <c r="F58" s="65" t="inlineStr"/>
      <c r="G58" s="65" t="inlineStr"/>
      <c r="H58" s="65" t="inlineStr"/>
      <c r="I58" s="65" t="inlineStr">
        <is>
          <t>n/d</t>
        </is>
      </c>
      <c r="J58" s="66" t="inlineStr">
        <is>
          <t>Inclui bebida e café ao balcão. No delivery o café sai — reformular como "Bitoque + bebida" e recalcular o preço.</t>
        </is>
      </c>
    </row>
    <row r="60">
      <c r="A60" s="5" t="inlineStr">
        <is>
          <t>BAR</t>
        </is>
      </c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</row>
    <row r="61">
      <c r="A61" s="56" t="inlineStr">
        <is>
          <t>PRESSÃO DA CASA — Lager (33cl)</t>
        </is>
      </c>
      <c r="B61" s="22" t="inlineStr">
        <is>
          <t>Sim</t>
        </is>
      </c>
      <c r="C61" s="23" t="n">
        <v>3.5</v>
      </c>
      <c r="D61" s="34">
        <f>ROUND(C61*(1+$D$3),1)</f>
        <v>5.0</v>
      </c>
      <c r="E61" s="18">
        <f>D61*(1-$B$3)</f>
        <v>3.5</v>
      </c>
      <c r="F61" s="57" t="inlineStr"/>
      <c r="G61" s="57" t="inlineStr"/>
      <c r="H61" s="57" t="inlineStr"/>
      <c r="I61" s="57" t="inlineStr">
        <is>
          <t>n/d</t>
        </is>
      </c>
      <c r="J61" s="20" t="inlineStr">
        <is>
          <t>Só em garrafa/lata. Confirmar custo da versão engarrafada — difere do barril.</t>
        </is>
      </c>
    </row>
    <row r="62">
      <c r="A62" s="56" t="inlineStr">
        <is>
          <t>COPO CHEIO — IPA (33cl)</t>
        </is>
      </c>
      <c r="B62" s="22" t="inlineStr">
        <is>
          <t>Sim</t>
        </is>
      </c>
      <c r="C62" s="23" t="n">
        <v>4.5</v>
      </c>
      <c r="D62" s="34">
        <f>ROUND(C62*(1+$D$3),1)</f>
        <v>6.4</v>
      </c>
      <c r="E62" s="18">
        <f>D62*(1-$B$3)</f>
        <v>4.48</v>
      </c>
      <c r="F62" s="57" t="inlineStr"/>
      <c r="G62" s="57" t="inlineStr"/>
      <c r="H62" s="57" t="inlineStr"/>
      <c r="I62" s="57" t="inlineStr">
        <is>
          <t>n/d</t>
        </is>
      </c>
      <c r="J62" s="20" t="inlineStr">
        <is>
          <t>Só em garrafa/lata. Confirmar custo da versão engarrafada — difere do barril.</t>
        </is>
      </c>
    </row>
    <row r="63">
      <c r="A63" s="56" t="inlineStr">
        <is>
          <t>NOITE FECHADA — Stout (33cl)</t>
        </is>
      </c>
      <c r="B63" s="22" t="inlineStr">
        <is>
          <t>Sim</t>
        </is>
      </c>
      <c r="C63" s="23" t="n">
        <v>4.8</v>
      </c>
      <c r="D63" s="34">
        <f>ROUND(C63*(1+$D$3),1)</f>
        <v>6.9</v>
      </c>
      <c r="E63" s="18">
        <f>D63*(1-$B$3)</f>
        <v>4.83</v>
      </c>
      <c r="F63" s="57" t="inlineStr"/>
      <c r="G63" s="57" t="inlineStr"/>
      <c r="H63" s="57" t="inlineStr"/>
      <c r="I63" s="57" t="inlineStr">
        <is>
          <t>n/d</t>
        </is>
      </c>
      <c r="J63" s="20" t="inlineStr">
        <is>
          <t>Só em garrafa/lata. Confirmar custo da versão engarrafada — difere do barril.</t>
        </is>
      </c>
    </row>
    <row r="64">
      <c r="A64" s="56" t="inlineStr">
        <is>
          <t>Água sem Gás (33cl)</t>
        </is>
      </c>
      <c r="B64" s="22" t="inlineStr">
        <is>
          <t>Sim</t>
        </is>
      </c>
      <c r="C64" s="23" t="n">
        <v>1.8</v>
      </c>
      <c r="D64" s="34">
        <f>ROUND(C64*(1+$D$3),1)</f>
        <v>2.6</v>
      </c>
      <c r="E64" s="18">
        <f>D64*(1-$B$3)</f>
        <v>1.82</v>
      </c>
      <c r="F64" s="57" t="inlineStr"/>
      <c r="G64" s="57" t="inlineStr"/>
      <c r="H64" s="57" t="inlineStr"/>
      <c r="I64" s="57" t="inlineStr">
        <is>
          <t>n/d</t>
        </is>
      </c>
      <c r="J64" s="20" t="inlineStr"/>
    </row>
    <row r="65">
      <c r="A65" s="56" t="inlineStr">
        <is>
          <t>Água das Pedras (33cl)</t>
        </is>
      </c>
      <c r="B65" s="22" t="inlineStr">
        <is>
          <t>Sim</t>
        </is>
      </c>
      <c r="C65" s="23" t="n">
        <v>2</v>
      </c>
      <c r="D65" s="34">
        <f>ROUND(C65*(1+$D$3),1)</f>
        <v>2.9</v>
      </c>
      <c r="E65" s="18">
        <f>D65*(1-$B$3)</f>
        <v>2.03</v>
      </c>
      <c r="F65" s="57" t="inlineStr"/>
      <c r="G65" s="57" t="inlineStr"/>
      <c r="H65" s="57" t="inlineStr"/>
      <c r="I65" s="57" t="inlineStr">
        <is>
          <t>n/d</t>
        </is>
      </c>
      <c r="J65" s="20" t="inlineStr"/>
    </row>
    <row r="66">
      <c r="A66" s="56" t="inlineStr">
        <is>
          <t>Coca-Cola / Zero</t>
        </is>
      </c>
      <c r="B66" s="22" t="inlineStr">
        <is>
          <t>Sim</t>
        </is>
      </c>
      <c r="C66" s="23" t="n">
        <v>2.5</v>
      </c>
      <c r="D66" s="34">
        <f>ROUND(C66*(1+$D$3),1)</f>
        <v>3.6</v>
      </c>
      <c r="E66" s="18">
        <f>D66*(1-$B$3)</f>
        <v>2.52</v>
      </c>
      <c r="F66" s="57" t="inlineStr"/>
      <c r="G66" s="57" t="inlineStr"/>
      <c r="H66" s="57" t="inlineStr"/>
      <c r="I66" s="57" t="inlineStr">
        <is>
          <t>n/d</t>
        </is>
      </c>
      <c r="J66" s="20" t="inlineStr"/>
    </row>
    <row r="67">
      <c r="A67" s="56" t="inlineStr">
        <is>
          <t>Fanta / Sprite</t>
        </is>
      </c>
      <c r="B67" s="22" t="inlineStr">
        <is>
          <t>Sim</t>
        </is>
      </c>
      <c r="C67" s="23" t="n">
        <v>2.5</v>
      </c>
      <c r="D67" s="34">
        <f>ROUND(C67*(1+$D$3),1)</f>
        <v>3.6</v>
      </c>
      <c r="E67" s="18">
        <f>D67*(1-$B$3)</f>
        <v>2.52</v>
      </c>
      <c r="F67" s="57" t="inlineStr"/>
      <c r="G67" s="57" t="inlineStr"/>
      <c r="H67" s="57" t="inlineStr"/>
      <c r="I67" s="57" t="inlineStr">
        <is>
          <t>n/d</t>
        </is>
      </c>
      <c r="J67" s="20" t="inlineStr"/>
    </row>
    <row r="68">
      <c r="A68" s="56" t="inlineStr">
        <is>
          <t>Guaraná Antarctica</t>
        </is>
      </c>
      <c r="B68" s="22" t="inlineStr">
        <is>
          <t>Sim</t>
        </is>
      </c>
      <c r="C68" s="23" t="n">
        <v>2.8</v>
      </c>
      <c r="D68" s="34">
        <f>ROUND(C68*(1+$D$3),1)</f>
        <v>4.0</v>
      </c>
      <c r="E68" s="18">
        <f>D68*(1-$B$3)</f>
        <v>2.8</v>
      </c>
      <c r="F68" s="57" t="inlineStr"/>
      <c r="G68" s="57" t="inlineStr"/>
      <c r="H68" s="57" t="inlineStr"/>
      <c r="I68" s="57" t="inlineStr">
        <is>
          <t>n/d</t>
        </is>
      </c>
      <c r="J68" s="20" t="inlineStr"/>
    </row>
    <row r="69">
      <c r="A69" s="56" t="inlineStr">
        <is>
          <t>Ice Tea</t>
        </is>
      </c>
      <c r="B69" s="22" t="inlineStr">
        <is>
          <t>Sim</t>
        </is>
      </c>
      <c r="C69" s="23" t="n">
        <v>2.5</v>
      </c>
      <c r="D69" s="34">
        <f>ROUND(C69*(1+$D$3),1)</f>
        <v>3.6</v>
      </c>
      <c r="E69" s="18">
        <f>D69*(1-$B$3)</f>
        <v>2.52</v>
      </c>
      <c r="F69" s="57" t="inlineStr"/>
      <c r="G69" s="57" t="inlineStr"/>
      <c r="H69" s="57" t="inlineStr"/>
      <c r="I69" s="57" t="inlineStr">
        <is>
          <t>n/d</t>
        </is>
      </c>
      <c r="J69" s="20" t="inlineStr"/>
    </row>
    <row r="70">
      <c r="A70" s="56" t="inlineStr">
        <is>
          <t>Ucal (Citrino)</t>
        </is>
      </c>
      <c r="B70" s="22" t="inlineStr">
        <is>
          <t>Sim</t>
        </is>
      </c>
      <c r="C70" s="23" t="n">
        <v>2.2</v>
      </c>
      <c r="D70" s="34">
        <f>ROUND(C70*(1+$D$3),1)</f>
        <v>3.1</v>
      </c>
      <c r="E70" s="18">
        <f>D70*(1-$B$3)</f>
        <v>2.17</v>
      </c>
      <c r="F70" s="57" t="inlineStr"/>
      <c r="G70" s="57" t="inlineStr"/>
      <c r="H70" s="57" t="inlineStr"/>
      <c r="I70" s="57" t="inlineStr">
        <is>
          <t>n/d</t>
        </is>
      </c>
      <c r="J70" s="20" t="inlineStr"/>
    </row>
    <row r="71">
      <c r="A71" s="56" t="inlineStr">
        <is>
          <t>Vinho Verde (Garrafa)</t>
        </is>
      </c>
      <c r="B71" s="22" t="inlineStr">
        <is>
          <t>Sim</t>
        </is>
      </c>
      <c r="C71" s="23" t="n">
        <v>16</v>
      </c>
      <c r="D71" s="34">
        <f>ROUND(C71*(1+$D$3),1)</f>
        <v>22.9</v>
      </c>
      <c r="E71" s="18">
        <f>D71*(1-$B$3)</f>
        <v>16.03</v>
      </c>
      <c r="F71" s="57" t="inlineStr"/>
      <c r="G71" s="57" t="inlineStr"/>
      <c r="H71" s="57" t="inlineStr"/>
      <c r="I71" s="57" t="inlineStr">
        <is>
          <t>n/d</t>
        </is>
      </c>
      <c r="J71" s="20" t="inlineStr">
        <is>
          <t>Só garrafa fechada.</t>
        </is>
      </c>
    </row>
    <row r="72">
      <c r="A72" s="56" t="inlineStr">
        <is>
          <t>Branco da Casa (Garrafa)</t>
        </is>
      </c>
      <c r="B72" s="22" t="inlineStr">
        <is>
          <t>Sim</t>
        </is>
      </c>
      <c r="C72" s="23" t="n">
        <v>16</v>
      </c>
      <c r="D72" s="34">
        <f>ROUND(C72*(1+$D$3),1)</f>
        <v>22.9</v>
      </c>
      <c r="E72" s="18">
        <f>D72*(1-$B$3)</f>
        <v>16.03</v>
      </c>
      <c r="F72" s="57" t="inlineStr"/>
      <c r="G72" s="57" t="inlineStr"/>
      <c r="H72" s="57" t="inlineStr"/>
      <c r="I72" s="57" t="inlineStr">
        <is>
          <t>n/d</t>
        </is>
      </c>
      <c r="J72" s="20" t="inlineStr">
        <is>
          <t>Só garrafa fechada.</t>
        </is>
      </c>
    </row>
    <row r="73">
      <c r="A73" s="56" t="inlineStr">
        <is>
          <t>Tinto da Casa (Garrafa)</t>
        </is>
      </c>
      <c r="B73" s="22" t="inlineStr">
        <is>
          <t>Sim</t>
        </is>
      </c>
      <c r="C73" s="23" t="n">
        <v>17</v>
      </c>
      <c r="D73" s="34">
        <f>ROUND(C73*(1+$D$3),1)</f>
        <v>24.3</v>
      </c>
      <c r="E73" s="18">
        <f>D73*(1-$B$3)</f>
        <v>17.01</v>
      </c>
      <c r="F73" s="57" t="inlineStr"/>
      <c r="G73" s="57" t="inlineStr"/>
      <c r="H73" s="57" t="inlineStr"/>
      <c r="I73" s="57" t="inlineStr">
        <is>
          <t>n/d</t>
        </is>
      </c>
      <c r="J73" s="20" t="inlineStr">
        <is>
          <t>Só garrafa fechada.</t>
        </is>
      </c>
    </row>
    <row r="74">
      <c r="A74" s="56" t="inlineStr">
        <is>
          <t>Rosé (Garrafa)</t>
        </is>
      </c>
      <c r="B74" s="22" t="inlineStr">
        <is>
          <t>Sim</t>
        </is>
      </c>
      <c r="C74" s="23" t="n">
        <v>17</v>
      </c>
      <c r="D74" s="34">
        <f>ROUND(C74*(1+$D$3),1)</f>
        <v>24.3</v>
      </c>
      <c r="E74" s="18">
        <f>D74*(1-$B$3)</f>
        <v>17.01</v>
      </c>
      <c r="F74" s="57" t="inlineStr"/>
      <c r="G74" s="57" t="inlineStr"/>
      <c r="H74" s="57" t="inlineStr"/>
      <c r="I74" s="57" t="inlineStr">
        <is>
          <t>n/d</t>
        </is>
      </c>
      <c r="J74" s="20" t="inlineStr">
        <is>
          <t>Só garrafa fechada.</t>
        </is>
      </c>
    </row>
    <row r="75">
      <c r="A75" s="56" t="inlineStr">
        <is>
          <t>Espumante Bruto (Garrafa)</t>
        </is>
      </c>
      <c r="B75" s="22" t="inlineStr">
        <is>
          <t>Sim</t>
        </is>
      </c>
      <c r="C75" s="23" t="n">
        <v>22</v>
      </c>
      <c r="D75" s="34">
        <f>ROUND(C75*(1+$D$3),1)</f>
        <v>31.4</v>
      </c>
      <c r="E75" s="18">
        <f>D75*(1-$B$3)</f>
        <v>21.98</v>
      </c>
      <c r="F75" s="57" t="inlineStr"/>
      <c r="G75" s="57" t="inlineStr"/>
      <c r="H75" s="57" t="inlineStr"/>
      <c r="I75" s="57" t="inlineStr">
        <is>
          <t>n/d</t>
        </is>
      </c>
      <c r="J75" s="20" t="inlineStr">
        <is>
          <t>Só garrafa fechada.</t>
        </is>
      </c>
    </row>
    <row r="76">
      <c r="A76" s="68" t="inlineStr">
        <is>
          <t>Vinhos a copo, espirituosas e digestivos</t>
        </is>
      </c>
      <c r="B76" s="19" t="inlineStr">
        <is>
          <t>NÃO</t>
        </is>
      </c>
      <c r="C76" s="48" t="inlineStr">
        <is>
          <t>vários</t>
        </is>
      </c>
      <c r="D76" s="57" t="inlineStr">
        <is>
          <t>—</t>
        </is>
      </c>
      <c r="E76" s="57" t="inlineStr">
        <is>
          <t>—</t>
        </is>
      </c>
      <c r="F76" s="57" t="inlineStr"/>
      <c r="G76" s="57" t="inlineStr"/>
      <c r="H76" s="57" t="inlineStr"/>
      <c r="I76" s="57" t="inlineStr">
        <is>
          <t>n/d</t>
        </is>
      </c>
      <c r="J76" s="29" t="inlineStr">
        <is>
          <t>Servidos em dose ao copo — não é embalagem lacrada, não é entregável. Só entram se houver SKU de garrafa cheia à venda.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26" customWidth="1" min="2" max="2"/>
    <col width="26" customWidth="1" min="3" max="3"/>
    <col width="62" customWidth="1" min="4" max="4"/>
    <col width="26" customWidth="1" min="5" max="5"/>
  </cols>
  <sheetData>
    <row r="1">
      <c r="A1" s="11" t="inlineStr">
        <is>
          <t>CORREÇÕES APLICADAS — v1 → v2</t>
        </is>
      </c>
      <c r="B1" s="12" t="n"/>
      <c r="C1" s="12" t="n"/>
      <c r="D1" s="12" t="n"/>
      <c r="E1" s="12" t="n"/>
    </row>
    <row r="2">
      <c r="A2" s="2" t="inlineStr">
        <is>
          <t>Tudo o que alterei em relação ao ficheiro que me enviaste, e porquê.</t>
        </is>
      </c>
    </row>
    <row r="4" ht="30" customHeight="1">
      <c r="A4" s="32" t="inlineStr">
        <is>
          <t>Item</t>
        </is>
      </c>
      <c r="B4" s="32" t="inlineStr">
        <is>
          <t>No ficheiro que enviaste</t>
        </is>
      </c>
      <c r="C4" s="32" t="inlineStr">
        <is>
          <t>Corrigido para</t>
        </is>
      </c>
      <c r="D4" s="32" t="inlineStr">
        <is>
          <t>Motivo</t>
        </is>
      </c>
      <c r="E4" s="32" t="inlineStr">
        <is>
          <t>Impacto</t>
        </is>
      </c>
    </row>
    <row r="5">
      <c r="A5" s="5" t="inlineStr">
        <is>
          <t>🔴 MARGEM — pratos que vendiam a perder</t>
        </is>
      </c>
      <c r="B5" s="14" t="n"/>
      <c r="C5" s="14" t="n"/>
      <c r="D5" s="14" t="n"/>
      <c r="E5" s="14" t="n"/>
    </row>
    <row r="6">
      <c r="A6" s="58" t="inlineStr">
        <is>
          <t>Bolinhas de Feijoada</t>
        </is>
      </c>
      <c r="B6" s="38" t="inlineStr">
        <is>
          <t>8 un — 5,90 €</t>
        </is>
      </c>
      <c r="C6" s="38" t="inlineStr">
        <is>
          <t>5 un — 6,90 €</t>
        </is>
      </c>
      <c r="D6" s="38" t="inlineStr">
        <is>
          <t>Custo de compra 0,45 €/un (Makro). A 8 unidades o food cost era 61%. Cada dose vendida dava prejuízo depois de mão-de-obra e óleo. É o pior número de toda a carta.</t>
        </is>
      </c>
      <c r="E6" s="38" t="inlineStr">
        <is>
          <t>FC 61,0% → 32,6%</t>
        </is>
      </c>
    </row>
    <row r="7">
      <c r="A7" s="58" t="inlineStr">
        <is>
          <t>Bolinhas de Mandioca</t>
        </is>
      </c>
      <c r="B7" s="38" t="inlineStr">
        <is>
          <t>8 un — 6,90 €</t>
        </is>
      </c>
      <c r="C7" s="38" t="inlineStr">
        <is>
          <t>5 un — 6,90 €</t>
        </is>
      </c>
      <c r="D7" s="38" t="inlineStr">
        <is>
          <t>Mesmo custo unitário. A 8 unidades o food cost era 52,2%. Reduzi a dose e mantive o preço, para não mexer na percepção.</t>
        </is>
      </c>
      <c r="E7" s="38" t="inlineStr">
        <is>
          <t>FC 52,2% → 32,6%</t>
        </is>
      </c>
    </row>
    <row r="8">
      <c r="A8" s="58" t="inlineStr">
        <is>
          <t>Pastéis de Vento</t>
        </is>
      </c>
      <c r="B8" s="38" t="inlineStr">
        <is>
          <t>9 un, 3 recheios — 7,90 €</t>
        </is>
      </c>
      <c r="C8" s="38" t="inlineStr">
        <is>
          <t>6 un, 2 recheios — 7,90 €</t>
        </is>
      </c>
      <c r="D8" s="38" t="inlineStr">
        <is>
          <t>Food cost de 45,6%. Além disso eram três mise-en-places separadas (queijo, carne, camarão) para o petisco de pior rácio trabalho/receita da carta. Cortei o recheio de camarão — é o mais caro e o que menos se nota num sortido.</t>
        </is>
      </c>
      <c r="E8" s="38" t="inlineStr">
        <is>
          <t>FC 45,6% → 30,4%</t>
        </is>
      </c>
    </row>
    <row r="9">
      <c r="A9" s="62" t="inlineStr">
        <is>
          <t>Pastéis de Bacalhau</t>
        </is>
      </c>
      <c r="B9" s="45" t="inlineStr">
        <is>
          <t>6 un — 8,90 €</t>
        </is>
      </c>
      <c r="C9" s="45" t="inlineStr">
        <is>
          <t>6 un — 9,90 €</t>
        </is>
      </c>
      <c r="D9" s="45" t="inlineStr">
        <is>
          <t>Custo 0,55 €/un, o mais caro dos salgados. Mantive a dose e subi 1 €: é um petisco âncora, reduzir unidades notava-se mais do que o preço.</t>
        </is>
      </c>
      <c r="E9" s="45" t="inlineStr">
        <is>
          <t>FC 37,1% → 33,3%</t>
        </is>
      </c>
    </row>
    <row r="10">
      <c r="A10" s="62" t="inlineStr">
        <is>
          <t>Rissóis de Gambas</t>
        </is>
      </c>
      <c r="B10" s="45" t="inlineStr">
        <is>
          <t>6 un — 6,90 €</t>
        </is>
      </c>
      <c r="C10" s="45" t="inlineStr">
        <is>
          <t>5 un — 6,90 €</t>
        </is>
      </c>
      <c r="D10" s="45" t="inlineStr">
        <is>
          <t>FC de 39,1%. Reduzi a dose em vez de subir o preço. Alternativa se preferires: manter 6 un e subir para 8,50 € (FC 31,8%).</t>
        </is>
      </c>
      <c r="E10" s="45" t="inlineStr">
        <is>
          <t>FC 39,1% → 32,6%</t>
        </is>
      </c>
    </row>
    <row r="11">
      <c r="A11" s="62" t="inlineStr">
        <is>
          <t>Combo Sabores de Portugal</t>
        </is>
      </c>
      <c r="B11" s="45" t="inlineStr">
        <is>
          <t>22,50 €</t>
        </is>
      </c>
      <c r="C11" s="45" t="inlineStr">
        <is>
          <t>24,50 €</t>
        </is>
      </c>
      <c r="D11" s="45" t="inlineStr">
        <is>
          <t>Acompanha a subida dos Pastéis de Bacalhau. O desconto face à carta mantém-se em ~14%.</t>
        </is>
      </c>
      <c r="E11" s="45" t="inlineStr">
        <is>
          <t>Coerência de combo</t>
        </is>
      </c>
    </row>
    <row r="12">
      <c r="A12" s="5" t="inlineStr">
        <is>
          <t>🔴 LEGAL — alergénios (Reg. UE 1169/2011)</t>
        </is>
      </c>
      <c r="B12" s="14" t="n"/>
      <c r="C12" s="14" t="n"/>
      <c r="D12" s="14" t="n"/>
      <c r="E12" s="14" t="n"/>
    </row>
    <row r="13">
      <c r="A13" s="58" t="inlineStr">
        <is>
          <t>Todo o pequeno-almoço</t>
        </is>
      </c>
      <c r="B13" s="38" t="inlineStr">
        <is>
          <t>Coluna em branco</t>
        </is>
      </c>
      <c r="C13" s="38" t="inlineStr">
        <is>
          <t>Preenchido, 21 itens</t>
        </is>
      </c>
      <c r="D13" s="38" t="inlineStr">
        <is>
          <t>Tostas, croissants, pão de queijo, torrada de broa, ovos e bolo estavam todos sem declaração. É a secção mais exposta da carta e era a única totalmente vazia. Coima da ASAE garantida numa inspecção.</t>
        </is>
      </c>
      <c r="E13" s="38" t="inlineStr">
        <is>
          <t>21 itens conformes</t>
        </is>
      </c>
    </row>
    <row r="14">
      <c r="A14" s="58" t="inlineStr">
        <is>
          <t>Combos de pequeno-almoço</t>
        </is>
      </c>
      <c r="B14" s="38" t="inlineStr">
        <is>
          <t>Coluna em branco</t>
        </is>
      </c>
      <c r="C14" s="38" t="inlineStr">
        <is>
          <t>Alergénios herdados dos componentes</t>
        </is>
      </c>
      <c r="D14" s="38" t="inlineStr">
        <is>
          <t>Um combo declara os alergénios de tudo o que o compõe.</t>
        </is>
      </c>
      <c r="E14" s="38" t="inlineStr">
        <is>
          <t>3 combos conformes</t>
        </is>
      </c>
    </row>
    <row r="15">
      <c r="A15" s="58" t="inlineStr">
        <is>
          <t>Pastéis de Bacalhau</t>
        </is>
      </c>
      <c r="B15" s="38" t="inlineStr">
        <is>
          <t>PEIXE, OVO</t>
        </is>
      </c>
      <c r="C15" s="38" t="inlineStr">
        <is>
          <t>+ GLÚTEN, LEITE</t>
        </is>
      </c>
      <c r="D15" s="38" t="inlineStr">
        <is>
          <t>A massa leva farinha e o puré leva leite. Faltavam os dois.</t>
        </is>
      </c>
      <c r="E15" s="38" t="inlineStr">
        <is>
          <t>Corrigido</t>
        </is>
      </c>
    </row>
    <row r="16">
      <c r="A16" s="58" t="inlineStr">
        <is>
          <t>Rissóis de Gambas</t>
        </is>
      </c>
      <c r="B16" s="38" t="inlineStr">
        <is>
          <t>CRUSTÁCEOS, GLÚTEN, LEITE, OVO</t>
        </is>
      </c>
      <c r="C16" s="38" t="inlineStr">
        <is>
          <t>+ PEIXE (vestígios)</t>
        </is>
      </c>
      <c r="D16" s="38" t="inlineStr">
        <is>
          <t>Fritos no mesmo óleo dos pastéis de bacalhau. Contaminação cruzada declara-se.</t>
        </is>
      </c>
      <c r="E16" s="38" t="inlineStr">
        <is>
          <t>Corrigido</t>
        </is>
      </c>
    </row>
    <row r="17">
      <c r="A17" s="62" t="inlineStr">
        <is>
          <t>Tábua da Casa</t>
        </is>
      </c>
      <c r="B17" s="45" t="inlineStr">
        <is>
          <t>LEITE, GLÚTEN</t>
        </is>
      </c>
      <c r="C17" s="45" t="inlineStr">
        <is>
          <t>+ SULFITOS</t>
        </is>
      </c>
      <c r="D17" s="45" t="inlineStr">
        <is>
          <t>Chouriço e paio levam quase sempre conservantes sulfitados. Confirmar com a ficha do fornecedor.</t>
        </is>
      </c>
      <c r="E17" s="45" t="inlineStr">
        <is>
          <t>Corrigido</t>
        </is>
      </c>
    </row>
    <row r="18">
      <c r="A18" s="58" t="inlineStr">
        <is>
          <t>Pão de Queijo</t>
        </is>
      </c>
      <c r="B18" s="38" t="inlineStr">
        <is>
          <t>(em branco)</t>
        </is>
      </c>
      <c r="C18" s="38" t="inlineStr">
        <is>
          <t>LEITE, OVO</t>
        </is>
      </c>
      <c r="D18" s="38" t="inlineStr">
        <is>
          <t>Polvilho, queijo, ovo e leite. Não é isento.</t>
        </is>
      </c>
      <c r="E18" s="38" t="inlineStr">
        <is>
          <t>Corrigido</t>
        </is>
      </c>
    </row>
    <row r="19">
      <c r="A19" s="62" t="inlineStr">
        <is>
          <t>Pica-Pau</t>
        </is>
      </c>
      <c r="B19" s="45" t="inlineStr">
        <is>
          <t>MOSTARDA, SULFITOS</t>
        </is>
      </c>
      <c r="C19" s="45" t="inlineStr">
        <is>
          <t>+ GLÚTEN</t>
        </is>
      </c>
      <c r="D19" s="45" t="inlineStr">
        <is>
          <t>Vai à mesa com pão. O pão conta.</t>
        </is>
      </c>
      <c r="E19" s="45" t="inlineStr">
        <is>
          <t>Corrigido</t>
        </is>
      </c>
    </row>
    <row r="20">
      <c r="A20" s="62" t="inlineStr">
        <is>
          <t>Bitoque da Casa</t>
        </is>
      </c>
      <c r="B20" s="45" t="inlineStr">
        <is>
          <t>Ovo, Mostarda, Sulfitos</t>
        </is>
      </c>
      <c r="C20" s="45" t="inlineStr">
        <is>
          <t>+ LEITE</t>
        </is>
      </c>
      <c r="D20" s="45" t="inlineStr">
        <is>
          <t>O molho da casa leva manteiga.</t>
        </is>
      </c>
      <c r="E20" s="45" t="inlineStr">
        <is>
          <t>Corrigido</t>
        </is>
      </c>
    </row>
    <row r="21">
      <c r="A21" s="58" t="inlineStr">
        <is>
          <t>Calabresa Acebolada</t>
        </is>
      </c>
      <c r="B21" s="38" t="inlineStr">
        <is>
          <t>A CONFIRMAR †</t>
        </is>
      </c>
      <c r="C21" s="38" t="inlineStr">
        <is>
          <t>SULFITOS, LEITE (a confirmar)</t>
        </is>
      </c>
      <c r="D21" s="38" t="inlineStr">
        <is>
          <t>Continua BLOQUEADA. Pus a declaração provável para não ir vazia, mas não publicar sem a ficha do fornecedor da linguiça.</t>
        </is>
      </c>
      <c r="E21" s="38" t="inlineStr">
        <is>
          <t>Ainda bloqueado</t>
        </is>
      </c>
    </row>
    <row r="22">
      <c r="A22" s="62" t="inlineStr">
        <is>
          <t>Nomenclatura</t>
        </is>
      </c>
      <c r="B22" s="45" t="inlineStr">
        <is>
          <t>"lactose" (Tosta Mista, na BD)</t>
        </is>
      </c>
      <c r="C22" s="45" t="inlineStr">
        <is>
          <t>"LEITE"</t>
        </is>
      </c>
      <c r="D22" s="45" t="inlineStr">
        <is>
          <t>A lista legal dos 14 alergénios diz "leite", não "lactose". São coisas diferentes e a redacção legal importa.</t>
        </is>
      </c>
      <c r="E22" s="45" t="inlineStr">
        <is>
          <t>Corrigido</t>
        </is>
      </c>
    </row>
    <row r="23">
      <c r="A23" s="5" t="inlineStr">
        <is>
          <t>🔴 DELIVERY</t>
        </is>
      </c>
      <c r="B23" s="14" t="n"/>
      <c r="C23" s="14" t="n"/>
      <c r="D23" s="14" t="n"/>
      <c r="E23" s="14" t="n"/>
    </row>
    <row r="24">
      <c r="A24" s="58" t="inlineStr">
        <is>
          <t>Markup</t>
        </is>
      </c>
      <c r="B24" s="38" t="inlineStr">
        <is>
          <t>+15%</t>
        </is>
      </c>
      <c r="C24" s="38" t="inlineStr">
        <is>
          <t>+43%</t>
        </is>
      </c>
      <c r="D24" s="38" t="inlineStr">
        <is>
          <t>Com 30% de comissão, o +15% deixava-nos a receber ~20% ABAIXO do preço de balcão, e ainda pagávamos embalagem. Vendíamos a perder em todas as encomendas. +43% é o mínimo para neutralidade (1 ÷ 0,70).</t>
        </is>
      </c>
      <c r="E24" s="38" t="inlineStr">
        <is>
          <t>Deixa de haver prejuízo</t>
        </is>
      </c>
    </row>
    <row r="25">
      <c r="A25" s="69" t="inlineStr">
        <is>
          <t>Custo de embalagem</t>
        </is>
      </c>
      <c r="B25" s="51" t="inlineStr">
        <is>
          <t>Não contabilizado</t>
        </is>
      </c>
      <c r="C25" s="51" t="inlineStr">
        <is>
          <t>0,40 / 0,55 / 0,90 €</t>
        </is>
      </c>
      <c r="D25" s="51" t="inlineStr">
        <is>
          <t>Petisco / prato feito / tábua. ESTIMATIVA MINHA — validar com fornecedor de embalagens.</t>
        </is>
      </c>
      <c r="E25" s="51" t="inlineStr">
        <is>
          <t>Entra no food cost</t>
        </is>
      </c>
    </row>
    <row r="26">
      <c r="A26" s="58" t="inlineStr">
        <is>
          <t>Batatas c/ Cheddar e Bacon</t>
        </is>
      </c>
      <c r="B26" s="38" t="inlineStr">
        <is>
          <t>Disponível no delivery</t>
        </is>
      </c>
      <c r="C26" s="38" t="inlineStr">
        <is>
          <t>RETIRADO</t>
        </is>
      </c>
      <c r="D26" s="38" t="inlineStr">
        <is>
          <t>Batata frita com queijo derretido chega mole. É o campeão das avaliações de 1 estrela nas plataformas. A nota do teu ficheiro já dizia "considerar aviso na app" — um aviso não salva o prato.</t>
        </is>
      </c>
      <c r="E26" s="38" t="inlineStr">
        <is>
          <t>Protege a reputação</t>
        </is>
      </c>
    </row>
    <row r="27">
      <c r="A27" s="58" t="inlineStr">
        <is>
          <t>Peixe do Dia</t>
        </is>
      </c>
      <c r="B27" s="38" t="inlineStr">
        <is>
          <t>"Preço do dia"</t>
        </is>
      </c>
      <c r="C27" s="38" t="inlineStr">
        <is>
          <t>RETIRADO do delivery</t>
        </is>
      </c>
      <c r="D27" s="38" t="inlineStr">
        <is>
          <t>As plataformas exigem preço fixo por SKU, como já tinhas notado. Acresce que peixe fresco grelhado é o prato que pior viaja da carta.</t>
        </is>
      </c>
      <c r="E27" s="38" t="inlineStr">
        <is>
          <t>Resolve o conflito</t>
        </is>
      </c>
    </row>
    <row r="28">
      <c r="A28" s="58" t="inlineStr">
        <is>
          <t>Cafés e bebidas quentes</t>
        </is>
      </c>
      <c r="B28" s="38" t="inlineStr">
        <is>
          <t>Disponível no delivery</t>
        </is>
      </c>
      <c r="C28" s="38" t="inlineStr">
        <is>
          <t>RETIRADO</t>
        </is>
      </c>
      <c r="D28" s="38" t="inlineStr">
        <is>
          <t>Café entregue por estafeta chega frio. Não se entrega café.</t>
        </is>
      </c>
      <c r="E28" s="38" t="inlineStr">
        <is>
          <t>Protege a reputação</t>
        </is>
      </c>
    </row>
    <row r="29">
      <c r="A29" s="5" t="inlineStr">
        <is>
          <t>🟠 OPERACIONAL E COERÊNCIA</t>
        </is>
      </c>
      <c r="B29" s="14" t="n"/>
      <c r="C29" s="14" t="n"/>
      <c r="D29" s="14" t="n"/>
      <c r="E29" s="14" t="n"/>
    </row>
    <row r="30">
      <c r="A30" s="62" t="inlineStr">
        <is>
          <t>Fichas técnicas em sistema</t>
        </is>
      </c>
      <c r="B30" s="45" t="inlineStr">
        <is>
          <t>Coxinha 1 un, Rissóis 3, Bacalhau 2, Vento 4, Bolinhas 6</t>
        </is>
      </c>
      <c r="C30" s="45" t="inlineStr">
        <is>
          <t>Alinhadas com as doses da carta</t>
        </is>
      </c>
      <c r="D30" s="45" t="inlineStr">
        <is>
          <t>O stock descontava errado desde o primeiro dia. Migração SQL preparada em ficheiro separado — não a apliquei sem a tua autorização.</t>
        </is>
      </c>
      <c r="E30" s="45" t="inlineStr">
        <is>
          <t>Stock passa a fechar</t>
        </is>
      </c>
    </row>
    <row r="31">
      <c r="A31" s="62" t="inlineStr">
        <is>
          <t>Combo Moelas e Mandioca</t>
        </is>
      </c>
      <c r="B31" s="45" t="inlineStr">
        <is>
          <t>"3-4 pessoas"</t>
        </is>
      </c>
      <c r="C31" s="45" t="inlineStr">
        <is>
          <t>"2-3 pessoas"</t>
        </is>
      </c>
      <c r="D31" s="45" t="inlineStr">
        <is>
          <t>Dois petiscos não alimentam quatro pessoas. Isto não é uma questão de margem, é uma reclamação garantida à mesa.</t>
        </is>
      </c>
      <c r="E31" s="45" t="inlineStr">
        <is>
          <t>Expectativa realista</t>
        </is>
      </c>
    </row>
    <row r="32">
      <c r="A32" s="69" t="inlineStr">
        <is>
          <t>Ucal (Citrino)</t>
        </is>
      </c>
      <c r="B32" s="51" t="inlineStr">
        <is>
          <t>"a confirmar"</t>
        </is>
      </c>
      <c r="C32" s="51" t="inlineStr">
        <is>
          <t>2,20 €</t>
        </is>
      </c>
      <c r="D32" s="51" t="inlineStr">
        <is>
          <t>Alinhado com o Guaraná, que é o comparável. Ajusta se o custo de compra não bater.</t>
        </is>
      </c>
      <c r="E32" s="51" t="inlineStr">
        <is>
          <t>Preço fechado</t>
        </is>
      </c>
    </row>
    <row r="33">
      <c r="A33" s="70" t="inlineStr">
        <is>
          <t>Coxinha de Frango</t>
        </is>
      </c>
      <c r="B33" s="42" t="inlineStr">
        <is>
          <t>7,50 € *  (a validar)</t>
        </is>
      </c>
      <c r="C33" s="42" t="inlineStr">
        <is>
          <t>7,50 € — validado</t>
        </is>
      </c>
      <c r="D33" s="42" t="inlineStr">
        <is>
          <t>Custeado: 5 un × 0,50 € = 2,50 € → FC 33,3%. O asterisco pode sair.</t>
        </is>
      </c>
      <c r="E33" s="42" t="inlineStr">
        <is>
          <t>Confirmado</t>
        </is>
      </c>
    </row>
    <row r="34">
      <c r="A34" s="69" t="inlineStr">
        <is>
          <t>Jarro 1L</t>
        </is>
      </c>
      <c r="B34" s="51" t="inlineStr">
        <is>
          <t>Aparece em 4 combos</t>
        </is>
      </c>
      <c r="C34" s="51" t="inlineStr">
        <is>
          <t>Precisa de preço próprio</t>
        </is>
      </c>
      <c r="D34" s="51" t="inlineStr">
        <is>
          <t>Nunca teve preço na carta, mas é a base de todos os combos. Sem ele não fecho o food cost de nenhum.</t>
        </is>
      </c>
      <c r="E34" s="51" t="inlineStr">
        <is>
          <t>Em aberto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4" customWidth="1" min="4" max="4"/>
    <col width="64" customWidth="1" min="5" max="5"/>
  </cols>
  <sheetData>
    <row r="1">
      <c r="A1" s="11" t="inlineStr">
        <is>
          <t>⚠️ A EMENTA NÃO BATE COM A BASE DE DADOS DE PRODUÇÃO</t>
        </is>
      </c>
      <c r="B1" s="12" t="n"/>
      <c r="C1" s="12" t="n"/>
      <c r="D1" s="12" t="n"/>
      <c r="E1" s="12" t="n"/>
    </row>
    <row r="2">
      <c r="A2" s="2" t="inlineStr">
        <is>
          <t>Consulta à tabela products do Supabase (projecto 100PRESSAO), 16/08/2026. Isto é o que os clientes vêem HOJE no menu digital.</t>
        </is>
      </c>
    </row>
    <row r="4" ht="30" customHeight="1">
      <c r="A4" s="32" t="inlineStr">
        <is>
          <t>Item</t>
        </is>
      </c>
      <c r="B4" s="32" t="inlineStr">
        <is>
          <t>Preço na BD (a live)</t>
        </is>
      </c>
      <c r="C4" s="32" t="inlineStr">
        <is>
          <t>Preço na ementa v2</t>
        </is>
      </c>
      <c r="D4" s="32" t="inlineStr">
        <is>
          <t>Diferença</t>
        </is>
      </c>
      <c r="E4" s="32" t="inlineStr">
        <is>
          <t>Leitura</t>
        </is>
      </c>
    </row>
    <row r="5">
      <c r="A5" s="5" t="inlineStr">
        <is>
          <t>PREÇOS QUE NÃO BATEM</t>
        </is>
      </c>
      <c r="B5" s="14" t="n"/>
      <c r="C5" s="14" t="n"/>
      <c r="D5" s="14" t="n"/>
      <c r="E5" s="14" t="n"/>
    </row>
    <row r="6">
      <c r="A6" s="58" t="inlineStr">
        <is>
          <t>Prato Feito</t>
        </is>
      </c>
      <c r="B6" s="38" t="inlineStr">
        <is>
          <t>8,40 €</t>
        </is>
      </c>
      <c r="C6" s="38" t="inlineStr">
        <is>
          <t>12,90 €</t>
        </is>
      </c>
      <c r="D6" s="38" t="inlineStr">
        <is>
          <t>+4,50 €</t>
        </is>
      </c>
      <c r="E6" s="38" t="inlineStr">
        <is>
          <t>A BD tem um único produto genérico "Prato Feito" a 8,40 €. A ementa tem 6 pratos distintos a 12,90-13,90 €.</t>
        </is>
      </c>
    </row>
    <row r="7">
      <c r="A7" s="58" t="inlineStr">
        <is>
          <t>Bitoque da Casa</t>
        </is>
      </c>
      <c r="B7" s="38" t="inlineStr">
        <is>
          <t>9,60 €</t>
        </is>
      </c>
      <c r="C7" s="38" t="inlineStr">
        <is>
          <t>13,50 €</t>
        </is>
      </c>
      <c r="D7" s="38" t="inlineStr">
        <is>
          <t>+3,90 €</t>
        </is>
      </c>
      <c r="E7" s="38" t="inlineStr"/>
    </row>
    <row r="8">
      <c r="A8" s="58" t="inlineStr">
        <is>
          <t>Tábua da Casa</t>
        </is>
      </c>
      <c r="B8" s="38" t="inlineStr">
        <is>
          <t>11,00 €</t>
        </is>
      </c>
      <c r="C8" s="38" t="inlineStr">
        <is>
          <t>17,90 €</t>
        </is>
      </c>
      <c r="D8" s="38" t="inlineStr">
        <is>
          <t>+6,90 €</t>
        </is>
      </c>
      <c r="E8" s="38" t="inlineStr"/>
    </row>
    <row r="9">
      <c r="A9" s="58" t="inlineStr">
        <is>
          <t>Moelas Estufadas</t>
        </is>
      </c>
      <c r="B9" s="38" t="inlineStr">
        <is>
          <t>9,00 €</t>
        </is>
      </c>
      <c r="C9" s="38" t="inlineStr">
        <is>
          <t>11,90 €</t>
        </is>
      </c>
      <c r="D9" s="38" t="inlineStr">
        <is>
          <t>+2,90 €</t>
        </is>
      </c>
      <c r="E9" s="38" t="inlineStr"/>
    </row>
    <row r="10">
      <c r="A10" s="58" t="inlineStr">
        <is>
          <t>Pica-Pau</t>
        </is>
      </c>
      <c r="B10" s="38" t="inlineStr">
        <is>
          <t>9,00 €</t>
        </is>
      </c>
      <c r="C10" s="38" t="inlineStr">
        <is>
          <t>14,90 €</t>
        </is>
      </c>
      <c r="D10" s="38" t="inlineStr">
        <is>
          <t>+5,90 €</t>
        </is>
      </c>
      <c r="E10" s="38" t="inlineStr"/>
    </row>
    <row r="11">
      <c r="A11" s="58" t="inlineStr">
        <is>
          <t>Calabresa Acebolada</t>
        </is>
      </c>
      <c r="B11" s="38" t="inlineStr">
        <is>
          <t>9,00 €</t>
        </is>
      </c>
      <c r="C11" s="38" t="inlineStr">
        <is>
          <t>12,90 €</t>
        </is>
      </c>
      <c r="D11" s="38" t="inlineStr">
        <is>
          <t>+3,90 €</t>
        </is>
      </c>
      <c r="E11" s="38" t="inlineStr"/>
    </row>
    <row r="12">
      <c r="A12" s="58" t="inlineStr">
        <is>
          <t>Batatas c/ Cheddar e Bacon</t>
        </is>
      </c>
      <c r="B12" s="38" t="inlineStr">
        <is>
          <t>7,00 €</t>
        </is>
      </c>
      <c r="C12" s="38" t="inlineStr">
        <is>
          <t>9,90 €</t>
        </is>
      </c>
      <c r="D12" s="38" t="inlineStr">
        <is>
          <t>+2,90 €</t>
        </is>
      </c>
      <c r="E12" s="38" t="inlineStr"/>
    </row>
    <row r="13">
      <c r="A13" s="62" t="inlineStr">
        <is>
          <t>Bolinhas de Feijoada</t>
        </is>
      </c>
      <c r="B13" s="45" t="inlineStr">
        <is>
          <t>7,00 €</t>
        </is>
      </c>
      <c r="C13" s="45" t="inlineStr">
        <is>
          <t>6,90 €</t>
        </is>
      </c>
      <c r="D13" s="45" t="inlineStr">
        <is>
          <t>−0,10 €</t>
        </is>
      </c>
      <c r="E13" s="45" t="inlineStr"/>
    </row>
    <row r="14">
      <c r="A14" s="62" t="inlineStr">
        <is>
          <t>Tosta Mista</t>
        </is>
      </c>
      <c r="B14" s="45" t="inlineStr">
        <is>
          <t>4,90 €</t>
        </is>
      </c>
      <c r="C14" s="45" t="inlineStr">
        <is>
          <t>3,50 €</t>
        </is>
      </c>
      <c r="D14" s="45" t="inlineStr">
        <is>
          <t>−1,40 €</t>
        </is>
      </c>
      <c r="E14" s="45" t="inlineStr">
        <is>
          <t>A BD está mais cara que a ementa neste caso.</t>
        </is>
      </c>
    </row>
    <row r="15">
      <c r="A15" s="62" t="inlineStr">
        <is>
          <t>Café Expresso</t>
        </is>
      </c>
      <c r="B15" s="45" t="inlineStr">
        <is>
          <t>0,90 €</t>
        </is>
      </c>
      <c r="C15" s="45" t="inlineStr">
        <is>
          <t>1,20 €</t>
        </is>
      </c>
      <c r="D15" s="45" t="inlineStr">
        <is>
          <t>+0,30 €</t>
        </is>
      </c>
      <c r="E15" s="45" t="inlineStr"/>
    </row>
    <row r="16">
      <c r="A16" s="62" t="inlineStr">
        <is>
          <t>Sumo de Laranja</t>
        </is>
      </c>
      <c r="B16" s="45" t="inlineStr">
        <is>
          <t>2,10 €</t>
        </is>
      </c>
      <c r="C16" s="45" t="inlineStr">
        <is>
          <t>3,00 €</t>
        </is>
      </c>
      <c r="D16" s="45" t="inlineStr">
        <is>
          <t>+0,90 €</t>
        </is>
      </c>
      <c r="E16" s="45" t="inlineStr"/>
    </row>
    <row r="17">
      <c r="A17" s="5" t="inlineStr">
        <is>
          <t>PREÇOS QUE PARECEM SER POR UNIDADE, NÃO POR DOSE</t>
        </is>
      </c>
      <c r="B17" s="14" t="n"/>
      <c r="C17" s="14" t="n"/>
      <c r="D17" s="14" t="n"/>
      <c r="E17" s="14" t="n"/>
    </row>
    <row r="18">
      <c r="A18" s="58" t="inlineStr">
        <is>
          <t>Pastéis de Bacalhau</t>
        </is>
      </c>
      <c r="B18" s="38" t="inlineStr">
        <is>
          <t>1,40 €</t>
        </is>
      </c>
      <c r="C18" s="38" t="inlineStr">
        <is>
          <t>9,90 € (6 un)</t>
        </is>
      </c>
      <c r="D18" s="38" t="inlineStr">
        <is>
          <t>—</t>
        </is>
      </c>
      <c r="E18" s="38" t="inlineStr">
        <is>
          <t>1,40 € é preço de 1 unidade, não de uma dose. Se um cliente encomendar hoje, paga 1,40 € por seis pastéis.</t>
        </is>
      </c>
    </row>
    <row r="19">
      <c r="A19" s="58" t="inlineStr">
        <is>
          <t>Rissóis de Gambas</t>
        </is>
      </c>
      <c r="B19" s="38" t="inlineStr">
        <is>
          <t>1,80 €</t>
        </is>
      </c>
      <c r="C19" s="38" t="inlineStr">
        <is>
          <t>6,90 € (5 un)</t>
        </is>
      </c>
      <c r="D19" s="38" t="inlineStr">
        <is>
          <t>—</t>
        </is>
      </c>
      <c r="E19" s="38" t="inlineStr">
        <is>
          <t>Idem.</t>
        </is>
      </c>
    </row>
    <row r="20">
      <c r="A20" s="58" t="inlineStr">
        <is>
          <t>Coxinha de Frango</t>
        </is>
      </c>
      <c r="B20" s="38" t="inlineStr">
        <is>
          <t>2,00 €</t>
        </is>
      </c>
      <c r="C20" s="38" t="inlineStr">
        <is>
          <t>7,50 € (5 un)</t>
        </is>
      </c>
      <c r="D20" s="38" t="inlineStr">
        <is>
          <t>—</t>
        </is>
      </c>
      <c r="E20" s="38" t="inlineStr">
        <is>
          <t>Idem.</t>
        </is>
      </c>
    </row>
    <row r="21">
      <c r="A21" s="58" t="inlineStr">
        <is>
          <t>Bolinhas de Mandioca</t>
        </is>
      </c>
      <c r="B21" s="38" t="inlineStr">
        <is>
          <t>3,60 €</t>
        </is>
      </c>
      <c r="C21" s="38" t="inlineStr">
        <is>
          <t>6,90 € (5 un)</t>
        </is>
      </c>
      <c r="D21" s="38" t="inlineStr">
        <is>
          <t>—</t>
        </is>
      </c>
      <c r="E21" s="38" t="inlineStr">
        <is>
          <t>Idem.</t>
        </is>
      </c>
    </row>
    <row r="22">
      <c r="A22" s="58" t="inlineStr">
        <is>
          <t>Pastéis de Vento</t>
        </is>
      </c>
      <c r="B22" s="38" t="inlineStr">
        <is>
          <t>5,00 €</t>
        </is>
      </c>
      <c r="C22" s="38" t="inlineStr">
        <is>
          <t>7,90 € (6 un)</t>
        </is>
      </c>
      <c r="D22" s="38" t="inlineStr">
        <is>
          <t>—</t>
        </is>
      </c>
      <c r="E22" s="38" t="inlineStr">
        <is>
          <t>Idem.</t>
        </is>
      </c>
    </row>
    <row r="23">
      <c r="A23" s="5" t="inlineStr">
        <is>
          <t>ITENS NA BD QUE NÃO EXISTEM NA EMENTA</t>
        </is>
      </c>
      <c r="B23" s="14" t="n"/>
      <c r="C23" s="14" t="n"/>
      <c r="D23" s="14" t="n"/>
      <c r="E23" s="14" t="n"/>
    </row>
    <row r="24">
      <c r="A24" s="69" t="inlineStr">
        <is>
          <t>Azeitonas Temperadas</t>
        </is>
      </c>
      <c r="B24" s="51" t="inlineStr">
        <is>
          <t>1,50 €</t>
        </is>
      </c>
      <c r="C24" s="51" t="inlineStr">
        <is>
          <t>—</t>
        </is>
      </c>
      <c r="D24" s="51" t="inlineStr">
        <is>
          <t>—</t>
        </is>
      </c>
      <c r="E24" s="51" t="inlineStr">
        <is>
          <t>Existe na BD, categoria "Entrada". Não está na ementa. Entra ou sai?</t>
        </is>
      </c>
    </row>
    <row r="25">
      <c r="A25" s="69" t="inlineStr">
        <is>
          <t>Tremoços</t>
        </is>
      </c>
      <c r="B25" s="51" t="inlineStr">
        <is>
          <t>1,00 €</t>
        </is>
      </c>
      <c r="C25" s="51" t="inlineStr">
        <is>
          <t>—</t>
        </is>
      </c>
      <c r="D25" s="51" t="inlineStr">
        <is>
          <t>—</t>
        </is>
      </c>
      <c r="E25" s="51" t="inlineStr">
        <is>
          <t>Idem.</t>
        </is>
      </c>
    </row>
    <row r="26">
      <c r="A26" s="69" t="inlineStr">
        <is>
          <t>Heineken (imperial)</t>
        </is>
      </c>
      <c r="B26" s="51" t="inlineStr">
        <is>
          <t>1,80 €</t>
        </is>
      </c>
      <c r="C26" s="51" t="inlineStr">
        <is>
          <t>—</t>
        </is>
      </c>
      <c r="D26" s="51" t="inlineStr">
        <is>
          <t>—</t>
        </is>
      </c>
      <c r="E26" s="51" t="inlineStr">
        <is>
          <t>Existe na BD. A ementa só tem as cervejas da casa e Sagres nos combos.</t>
        </is>
      </c>
    </row>
    <row r="27">
      <c r="A27" s="68" t="inlineStr">
        <is>
          <t>Fiambre (produto)</t>
        </is>
      </c>
      <c r="B27" s="49" t="inlineStr">
        <is>
          <t>0,30 €</t>
        </is>
      </c>
      <c r="C27" s="49" t="inlineStr">
        <is>
          <t>—</t>
        </is>
      </c>
      <c r="D27" s="49" t="inlineStr">
        <is>
          <t>—</t>
        </is>
      </c>
      <c r="E27" s="49" t="inlineStr">
        <is>
          <t>Ingrediente exposto como produto vendável, marcado indisponível. Lixo de teste — apagar.</t>
        </is>
      </c>
    </row>
    <row r="28">
      <c r="A28" s="58" t="inlineStr">
        <is>
          <t>"Copo Cheio" em Cervejas</t>
        </is>
      </c>
      <c r="B28" s="38" t="inlineStr">
        <is>
          <t>1,84 €</t>
        </is>
      </c>
      <c r="C28" s="38" t="inlineStr">
        <is>
          <t>4,50 €</t>
        </is>
      </c>
      <c r="D28" s="38" t="inlineStr">
        <is>
          <t>—</t>
        </is>
      </c>
      <c r="E28" s="38" t="inlineStr">
        <is>
          <t>1,84 € para a IPA da casa. Parece registo de teste. Apagar ou corrigir.</t>
        </is>
      </c>
    </row>
    <row r="29">
      <c r="A29" s="5" t="inlineStr">
        <is>
          <t>ITENS DA EMENTA QUE NÃO EXISTEM NA BD</t>
        </is>
      </c>
      <c r="B29" s="14" t="n"/>
      <c r="C29" s="14" t="n"/>
      <c r="D29" s="14" t="n"/>
      <c r="E29" s="14" t="n"/>
    </row>
    <row r="30">
      <c r="A30" s="58" t="inlineStr">
        <is>
          <t>Os 6 Pratos Feitos individuais</t>
        </is>
      </c>
      <c r="B30" s="38" t="inlineStr">
        <is>
          <t>—</t>
        </is>
      </c>
      <c r="C30" s="38" t="inlineStr">
        <is>
          <t>12,90-13,90 €</t>
        </is>
      </c>
      <c r="D30" s="38" t="inlineStr">
        <is>
          <t>—</t>
        </is>
      </c>
      <c r="E30" s="38" t="inlineStr">
        <is>
          <t>A BD só tem o genérico. A rotação semanal não é servível sem eles.</t>
        </is>
      </c>
    </row>
    <row r="31">
      <c r="A31" s="58" t="inlineStr">
        <is>
          <t>Cervejas da casa (Lager, Stout)</t>
        </is>
      </c>
      <c r="B31" s="38" t="inlineStr">
        <is>
          <t>—</t>
        </is>
      </c>
      <c r="C31" s="38" t="inlineStr">
        <is>
          <t>3,50 / 4,80 €</t>
        </is>
      </c>
      <c r="D31" s="38" t="inlineStr">
        <is>
          <t>—</t>
        </is>
      </c>
      <c r="E31" s="38" t="inlineStr">
        <is>
          <t>Só existe "Copo Cheio" e a 1,84 €.</t>
        </is>
      </c>
    </row>
    <row r="32">
      <c r="A32" s="58" t="inlineStr">
        <is>
          <t>Os 4 combos para partilhar</t>
        </is>
      </c>
      <c r="B32" s="38" t="inlineStr">
        <is>
          <t>—</t>
        </is>
      </c>
      <c r="C32" s="38" t="inlineStr">
        <is>
          <t>23,50-27,90 €</t>
        </is>
      </c>
      <c r="D32" s="38" t="inlineStr">
        <is>
          <t>—</t>
        </is>
      </c>
      <c r="E32" s="38" t="inlineStr">
        <is>
          <t>Nenhum existe na BD.</t>
        </is>
      </c>
    </row>
    <row r="33">
      <c r="A33" s="58" t="inlineStr">
        <is>
          <t>Vinhos, espirituosas, digestivos</t>
        </is>
      </c>
      <c r="B33" s="38" t="inlineStr">
        <is>
          <t>—</t>
        </is>
      </c>
      <c r="C33" s="38" t="inlineStr">
        <is>
          <t>3,50-22,00 €</t>
        </is>
      </c>
      <c r="D33" s="38" t="inlineStr">
        <is>
          <t>—</t>
        </is>
      </c>
      <c r="E33" s="38" t="inlineStr">
        <is>
          <t>Toda a carta de bar em falta (30+ itens).</t>
        </is>
      </c>
    </row>
    <row r="34">
      <c r="A34" s="58" t="inlineStr">
        <is>
          <t>Refrigerantes e sumos</t>
        </is>
      </c>
      <c r="B34" s="38" t="inlineStr">
        <is>
          <t>—</t>
        </is>
      </c>
      <c r="C34" s="38" t="inlineStr">
        <is>
          <t>1,80-3,50 €</t>
        </is>
      </c>
      <c r="D34" s="38" t="inlineStr">
        <is>
          <t>—</t>
        </is>
      </c>
      <c r="E34" s="38" t="inlineStr">
        <is>
          <t>Só existe Água das Pedras.</t>
        </is>
      </c>
    </row>
    <row r="35">
      <c r="A35" s="5" t="inlineStr">
        <is>
          <t>MARKUP DE PLATAFORMA NA BD</t>
        </is>
      </c>
      <c r="B35" s="14" t="n"/>
      <c r="C35" s="14" t="n"/>
      <c r="D35" s="14" t="n"/>
      <c r="E35" s="14" t="n"/>
    </row>
    <row r="36">
      <c r="A36" s="58" t="inlineStr">
        <is>
          <t>preco_plataforma</t>
        </is>
      </c>
      <c r="B36" s="38" t="inlineStr">
        <is>
          <t>+30% sobre balcão</t>
        </is>
      </c>
      <c r="C36" s="38" t="inlineStr">
        <is>
          <t>+43%</t>
        </is>
      </c>
      <c r="D36" s="38" t="inlineStr">
        <is>
          <t>−13 p.p.</t>
        </is>
      </c>
      <c r="E36" s="38" t="inlineStr">
        <is>
          <t>A BD aplica +30%, a ementa v1 aplicava +15%, e o correcto a 30% de comissão é +43%. Três números diferentes em três sítios.</t>
        </is>
      </c>
    </row>
    <row r="37">
      <c r="A37" s="70" t="inlineStr">
        <is>
          <t>preco_online</t>
        </is>
      </c>
      <c r="B37" s="42" t="inlineStr">
        <is>
          <t>+10% sobre balcão</t>
        </is>
      </c>
      <c r="C37" s="42" t="inlineStr">
        <is>
          <t>n/a</t>
        </is>
      </c>
      <c r="D37" s="42" t="inlineStr">
        <is>
          <t>—</t>
        </is>
      </c>
      <c r="E37" s="42" t="inlineStr">
        <is>
          <t>Canal próprio não paga comissão de plataforma — +10% faz sentido. Este está bem.</t>
        </is>
      </c>
    </row>
    <row r="38">
      <c r="A38" s="5" t="inlineStr">
        <is>
          <t>O QUE ISTO SIGNIFICA</t>
        </is>
      </c>
      <c r="B38" s="14" t="n"/>
      <c r="C38" s="14" t="n"/>
      <c r="D38" s="14" t="n"/>
      <c r="E38" s="14" t="n"/>
    </row>
    <row r="39">
      <c r="A39" s="69" t="inlineStr">
        <is>
          <t>Pergunta que precisa de resposta</t>
        </is>
      </c>
      <c r="B39" s="51" t="inlineStr"/>
      <c r="C39" s="51" t="inlineStr"/>
      <c r="D39" s="51" t="inlineStr"/>
      <c r="E39" s="51" t="inlineStr">
        <is>
          <t>Qual é a fonte de verdade: a ementa ou a base de dados? Não avanço para sincronizar sem essa decisão tua. Se a BD já está a servir clientes com estes preços, isto é urgente — estamos a vender doses de 6 pastéis por 1,40 €.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52" customWidth="1" min="4" max="4"/>
    <col width="56" customWidth="1" min="5" max="5"/>
  </cols>
  <sheetData>
    <row r="1">
      <c r="A1" s="11" t="inlineStr">
        <is>
          <t>POR RESOLVER — o que não consigo fechar sozinha</t>
        </is>
      </c>
      <c r="B1" s="12" t="n"/>
      <c r="C1" s="12" t="n"/>
      <c r="D1" s="12" t="n"/>
      <c r="E1" s="12" t="n"/>
    </row>
    <row r="2">
      <c r="A2" s="2" t="inlineStr">
        <is>
          <t>Cada linha tem um dono. Nada disto se resolve dentro deste ficheiro.</t>
        </is>
      </c>
    </row>
    <row r="4" ht="30" customHeight="1">
      <c r="A4" s="32" t="inlineStr">
        <is>
          <t>#</t>
        </is>
      </c>
      <c r="B4" s="32" t="inlineStr">
        <is>
          <t>Assunto</t>
        </is>
      </c>
      <c r="C4" s="32" t="inlineStr">
        <is>
          <t>Quem decide</t>
        </is>
      </c>
      <c r="D4" s="32" t="inlineStr">
        <is>
          <t>O que é preciso</t>
        </is>
      </c>
      <c r="E4" s="32" t="inlineStr">
        <is>
          <t>Porque bloqueia</t>
        </is>
      </c>
    </row>
    <row r="5">
      <c r="A5" s="5" t="inlineStr">
        <is>
          <t>BLOQUEIA A ABERTURA</t>
        </is>
      </c>
      <c r="B5" s="14" t="n"/>
      <c r="C5" s="14" t="n"/>
      <c r="D5" s="14" t="n"/>
      <c r="E5" s="14" t="n"/>
    </row>
    <row r="6">
      <c r="A6" s="58" t="n">
        <v>1</v>
      </c>
      <c r="B6" s="38" t="inlineStr">
        <is>
          <t>Alergénio da Calabresa</t>
        </is>
      </c>
      <c r="C6" s="38" t="inlineStr">
        <is>
          <t>Fornecedor + eu</t>
        </is>
      </c>
      <c r="D6" s="38" t="inlineStr">
        <is>
          <t>Ficha técnica da linguiça calabresa.</t>
        </is>
      </c>
      <c r="E6" s="38" t="inlineStr">
        <is>
          <t>Único item da carta que não pode ser publicado. Coima da ASAE se for servido sem declaração.</t>
        </is>
      </c>
    </row>
    <row r="7">
      <c r="A7" s="58" t="n">
        <v>2</v>
      </c>
      <c r="B7" s="38" t="inlineStr">
        <is>
          <t>Definir a "base fixa" dos Pratos Feitos</t>
        </is>
      </c>
      <c r="C7" s="38" t="inlineStr">
        <is>
          <t>Tu + eu</t>
        </is>
      </c>
      <c r="D7" s="38" t="inlineStr">
        <is>
          <t>Decidir o que é: arroz + feijão + farofa + salada? Gramagens por dose?</t>
        </is>
      </c>
      <c r="E7" s="38" t="inlineStr">
        <is>
          <t>Sete pratos de almoço com preço fixado e sem ficha técnica. Sem isto não há custeio, não há lista de compras, e cada cozinheiro serve uma dose diferente.</t>
        </is>
      </c>
    </row>
    <row r="8">
      <c r="A8" s="58" t="n">
        <v>3</v>
      </c>
      <c r="B8" s="38" t="inlineStr">
        <is>
          <t>Custear os PF, Tábua e Pica-Pau</t>
        </is>
      </c>
      <c r="C8" s="38" t="inlineStr">
        <is>
          <t>Eu, com preços Makro</t>
        </is>
      </c>
      <c r="D8" s="38" t="inlineStr">
        <is>
          <t>Preciso dos custos de: bife, peito de frango, entremeada, bacalhau, carne de sol, mandioca, arroz, feijão, farinha de mandioca, queijo da Serra, Azeitão, presunto, chouriço, paio, marmelada, lombo.</t>
        </is>
      </c>
      <c r="E8" s="38" t="inlineStr">
        <is>
          <t>Nove pratos da carta sem food cost conhecido. A minha regra é não pôr prato na ementa sem esse número.</t>
        </is>
      </c>
    </row>
    <row r="9">
      <c r="A9" s="58" t="n">
        <v>4</v>
      </c>
      <c r="B9" s="38" t="inlineStr">
        <is>
          <t>Fonte de verdade: ementa ou base de dados</t>
        </is>
      </c>
      <c r="C9" s="38" t="inlineStr">
        <is>
          <t>Tu</t>
        </is>
      </c>
      <c r="D9" s="38" t="inlineStr">
        <is>
          <t>Ver folha "Divergências BD" e decidir qual manda.</t>
        </is>
      </c>
      <c r="E9" s="38" t="inlineStr">
        <is>
          <t>Neste momento a BD serve doses de 6 pastéis de bacalhau por 1,40 €.</t>
        </is>
      </c>
    </row>
    <row r="10">
      <c r="A10" s="58" t="n">
        <v>5</v>
      </c>
      <c r="B10" s="38" t="inlineStr">
        <is>
          <t>Gramagem das porções indefinidas</t>
        </is>
      </c>
      <c r="C10" s="38" t="inlineStr">
        <is>
          <t>Eu</t>
        </is>
      </c>
      <c r="D10" s="38" t="inlineStr">
        <is>
          <t>Definir em gramas: porção de moelas, de calabresa, de cheddar, de bacon.</t>
        </is>
      </c>
      <c r="E10" s="38" t="inlineStr">
        <is>
          <t>Estes food costs dão 7-13%, o que não é boa notícia — é sinal de que o custo está mal definido em sistema.</t>
        </is>
      </c>
    </row>
    <row r="11">
      <c r="A11" s="5" t="inlineStr">
        <is>
          <t>DECIDIR ANTES DA ABERTURA</t>
        </is>
      </c>
      <c r="B11" s="14" t="n"/>
      <c r="C11" s="14" t="n"/>
      <c r="D11" s="14" t="n"/>
      <c r="E11" s="14" t="n"/>
    </row>
    <row r="12">
      <c r="A12" s="62" t="n">
        <v>6</v>
      </c>
      <c r="B12" s="45" t="inlineStr">
        <is>
          <t>Comissões reais das plataformas</t>
        </is>
      </c>
      <c r="C12" s="45" t="inlineStr">
        <is>
          <t>Alex (Parcerias)</t>
        </is>
      </c>
      <c r="D12" s="45" t="inlineStr">
        <is>
          <t>Percentagem contratada com Uber Eats, Glovo e Bolt Food.</t>
        </is>
      </c>
      <c r="E12" s="45" t="inlineStr">
        <is>
          <t>Assumi 30% por decisão tua. Se alguma cobrar 35%, o markup tem de ir a +54% nessa plataforma.</t>
        </is>
      </c>
    </row>
    <row r="13">
      <c r="A13" s="62" t="n">
        <v>7</v>
      </c>
      <c r="B13" s="45" t="inlineStr">
        <is>
          <t>Custo de embalagem</t>
        </is>
      </c>
      <c r="C13" s="45" t="inlineStr">
        <is>
          <t>Fornecedor</t>
        </is>
      </c>
      <c r="D13" s="45" t="inlineStr">
        <is>
          <t>Preço por caixa de petisco, de prato feito e compartimentada.</t>
        </is>
      </c>
      <c r="E13" s="45" t="inlineStr">
        <is>
          <t>Usei 0,40 / 0,55 / 0,90 € de estimativa. Entra directo no food cost do delivery.</t>
        </is>
      </c>
    </row>
    <row r="14">
      <c r="A14" s="62" t="n">
        <v>8</v>
      </c>
      <c r="B14" s="45" t="inlineStr">
        <is>
          <t>Custo de produção das cervejas da casa</t>
        </is>
      </c>
      <c r="C14" s="45" t="inlineStr">
        <is>
          <t>Tu / produção</t>
        </is>
      </c>
      <c r="D14" s="45" t="inlineStr">
        <is>
          <t>Custo por litro de cada uma das três.</t>
        </is>
      </c>
      <c r="E14" s="45" t="inlineStr">
        <is>
          <t>Sem isto não valido os preços de 3,50 / 4,50 / 4,80 €, nem custeio nenhum dos quatro combos (todos levam jarro).</t>
        </is>
      </c>
    </row>
    <row r="15">
      <c r="A15" s="62" t="n">
        <v>9</v>
      </c>
      <c r="B15" s="45" t="inlineStr">
        <is>
          <t>Preço do jarro 1L</t>
        </is>
      </c>
      <c r="C15" s="45" t="inlineStr">
        <is>
          <t>Tu + eu</t>
        </is>
      </c>
      <c r="D15" s="45" t="inlineStr">
        <is>
          <t>Definir preço de venda avulso.</t>
        </is>
      </c>
      <c r="E15" s="45" t="inlineStr">
        <is>
          <t>É a base dos quatro combos e nunca teve preço próprio na carta.</t>
        </is>
      </c>
    </row>
    <row r="16">
      <c r="A16" s="62" t="n">
        <v>10</v>
      </c>
      <c r="B16" s="45" t="inlineStr">
        <is>
          <t>Quantas cubas de fritadeira</t>
        </is>
      </c>
      <c r="C16" s="45" t="inlineStr">
        <is>
          <t>Tu</t>
        </is>
      </c>
      <c r="D16" s="45" t="inlineStr">
        <is>
          <t>Especificação do equipamento de Carnaxide.</t>
        </is>
      </c>
      <c r="E16" s="45" t="inlineStr">
        <is>
          <t>Sete dos onze petiscos são de fritura, mais as batatas do Bitoque. Com uma cuba esta carta não se serve em pico de sexta à noite.</t>
        </is>
      </c>
    </row>
    <row r="17">
      <c r="A17" s="62" t="n">
        <v>11</v>
      </c>
      <c r="B17" s="45" t="inlineStr">
        <is>
          <t>Encolher a rotação de PF</t>
        </is>
      </c>
      <c r="C17" s="45" t="inlineStr">
        <is>
          <t>Eu</t>
        </is>
      </c>
      <c r="D17" s="45" t="inlineStr">
        <is>
          <t>Como decidiste manter o Bitoque a 13,50 €, a rotação passa a 2 pratos/dia em vez de 3.</t>
        </is>
      </c>
      <c r="E17" s="45" t="inlineStr">
        <is>
          <t>Com o Bitoque a oferecer bebida e café por +0,60 €, os PF vendem pouco. Três pratos/dia gera desperdício.</t>
        </is>
      </c>
    </row>
    <row r="18">
      <c r="A18" s="62" t="n">
        <v>12</v>
      </c>
      <c r="B18" s="45" t="inlineStr">
        <is>
          <t>Bolo da Dona Célia</t>
        </is>
      </c>
      <c r="C18" s="45" t="inlineStr">
        <is>
          <t>Tu</t>
        </is>
      </c>
      <c r="D18" s="45" t="inlineStr">
        <is>
          <t>É produção nossa ou externa?</t>
        </is>
      </c>
      <c r="E18" s="45" t="inlineStr">
        <is>
          <t>Se for externa precisamos de ficha de alergénios do produtor e rastreabilidade HACCP. Se for nossa, precisa de ficha técnica.</t>
        </is>
      </c>
    </row>
    <row r="19">
      <c r="A19" s="5" t="inlineStr">
        <is>
          <t>RECOMENDAÇÕES MINHAS (não são bloqueios)</t>
        </is>
      </c>
      <c r="B19" s="14" t="n"/>
      <c r="C19" s="14" t="n"/>
      <c r="D19" s="14" t="n"/>
      <c r="E19" s="14" t="n"/>
    </row>
    <row r="20">
      <c r="A20" s="70" t="n">
        <v>13</v>
      </c>
      <c r="B20" s="42" t="inlineStr">
        <is>
          <t>Produzir os salgados em casa</t>
        </is>
      </c>
      <c r="C20" s="42" t="inlineStr">
        <is>
          <t>Tu + eu</t>
        </is>
      </c>
      <c r="D20" s="42" t="inlineStr">
        <is>
          <t>Avaliar produção própria vs compra de congelado na Makro.</t>
        </is>
      </c>
      <c r="E20" s="42" t="inlineStr">
        <is>
          <t>A 0,45-0,55 €/un comprados, os salgados são o que estrangula a margem. Produzidos em casa ficam a ~0,22 €/un: as Bolinhas de Feijoada passavam de 61% para 30% de food cost SEM mexer no preço nem na dose. Exige mão-de-obra e espaço de produção — que em Carnaxide não é dado adquirido.</t>
        </is>
      </c>
    </row>
    <row r="21">
      <c r="A21" s="70" t="n">
        <v>14</v>
      </c>
      <c r="B21" s="42" t="inlineStr">
        <is>
          <t>Abrir por fases</t>
        </is>
      </c>
      <c r="C21" s="42" t="inlineStr">
        <is>
          <t>Tu</t>
        </is>
      </c>
      <c r="D21" s="42" t="inlineStr">
        <is>
          <t>Semanas 1-2: petiscos + bar + Bitoque. Semana 3-4: pequeno-almoço e rotação de PF.</t>
        </is>
      </c>
      <c r="E21" s="42" t="inlineStr">
        <is>
          <t>Três mise-en-places diferentes no mesmo dia, com equipa pequena e sem rodagem, é o erro clássico de abertura.</t>
        </is>
      </c>
    </row>
    <row r="22">
      <c r="A22" s="70" t="n">
        <v>15</v>
      </c>
      <c r="B22" s="42" t="inlineStr">
        <is>
          <t>Dois petiscos não fritos</t>
        </is>
      </c>
      <c r="C22" s="42" t="inlineStr">
        <is>
          <t>Eu</t>
        </is>
      </c>
      <c r="D22" s="42" t="inlineStr">
        <is>
          <t>Desenvolver duas opções grelhadas ou frias de saída rápida.</t>
        </is>
      </c>
      <c r="E22" s="42" t="inlineStr">
        <is>
          <t>Desvia procura da fritadeira, que é o estrangulamento de todo o serviço. Neste momento só a Tábua e as Moelas escapam.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2026-08-16T09:49:00Z</dcterms:created>
  <dcterms:modified xmlns:dcterms="http://purl.org/dc/terms/" xmlns:xsi="http://www.w3.org/2001/XMLSchema-instance" xsi:type="dcterms:W3CDTF">2026-08-16T09:49:00Z</dcterms:modified>
</cp:coreProperties>
</file>