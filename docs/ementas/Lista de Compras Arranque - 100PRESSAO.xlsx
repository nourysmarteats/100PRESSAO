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zinha" sheetId="2" state="visible" r:id="rId2"/>
    <sheet xmlns:r="http://schemas.openxmlformats.org/officeDocument/2006/relationships" name="Bar" sheetId="3" state="visible" r:id="rId3"/>
    <sheet xmlns:r="http://schemas.openxmlformats.org/officeDocument/2006/relationships" name="Embalagens" sheetId="4" state="visible" r:id="rId4"/>
    <sheet xmlns:r="http://schemas.openxmlformats.org/officeDocument/2006/relationships" name="Consumíveis HACCP" sheetId="5" state="visible" r:id="rId5"/>
    <sheet xmlns:r="http://schemas.openxmlformats.org/officeDocument/2006/relationships" name="Alerta de Volume" sheetId="6" state="visible" r:id="rId6"/>
    <sheet xmlns:r="http://schemas.openxmlformats.org/officeDocument/2006/relationships" name="Rotina Sem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FF"/>
      <sz val="9"/>
    </font>
    <font>
      <name val="Arial"/>
      <color rgb="00843C0C"/>
      <sz val="9"/>
    </font>
    <font>
      <name val="Arial"/>
      <b val="1"/>
      <color rgb="00000000"/>
      <sz val="12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164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7" borderId="1" pivotButton="0" quotePrefix="0" xfId="0"/>
    <xf numFmtId="164" fontId="8" fillId="7" borderId="1" pivotButton="0" quotePrefix="0" xfId="0"/>
    <xf numFmtId="0" fontId="9" fillId="7" borderId="1" applyAlignment="1" pivotButton="0" quotePrefix="0" xfId="0">
      <alignment horizontal="center" vertical="center"/>
    </xf>
    <xf numFmtId="164" fontId="4" fillId="7" borderId="1" pivotButton="0" quotePrefix="0" xfId="0"/>
    <xf numFmtId="0" fontId="5" fillId="7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164" fontId="11" fillId="5" borderId="1" pivotButton="0" quotePrefix="0" xfId="0"/>
    <xf numFmtId="0" fontId="4" fillId="9" borderId="1" applyAlignment="1" pivotButton="0" quotePrefix="0" xfId="0">
      <alignment vertical="top" wrapText="1"/>
    </xf>
    <xf numFmtId="0" fontId="5" fillId="9" borderId="1" pivotButton="0" quotePrefix="0" xfId="0"/>
    <xf numFmtId="0" fontId="1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4" fillId="9" borderId="1" pivotButton="0" quotePrefix="0" xfId="0"/>
    <xf numFmtId="0" fontId="5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18" customWidth="1" min="3" max="3"/>
    <col width="18" customWidth="1" min="4" max="4"/>
    <col width="60" customWidth="1" min="5" max="5"/>
  </cols>
  <sheetData>
    <row r="2">
      <c r="B2" s="1" t="inlineStr">
        <is>
          <t>LISTA DE COMPRAS DE ARRANQUE — 100PRESSÃO</t>
        </is>
      </c>
    </row>
    <row r="3">
      <c r="B3" s="2" t="inlineStr">
        <is>
          <t>Rita Falcão, Chef Executiva · 16/08/2026 · Mercado Municipal de Carnaxide</t>
        </is>
      </c>
    </row>
    <row r="4">
      <c r="B4" s="2" t="inlineStr">
        <is>
          <t>Base: Ementa v2 corrigida · Volume assumido: 10 clientes/dia</t>
        </is>
      </c>
    </row>
    <row r="6">
      <c r="B6" s="3" t="inlineStr">
        <is>
          <t>INVESTIMENTO DE ARRANQUE</t>
        </is>
      </c>
      <c r="C6" s="4" t="n"/>
      <c r="D6" s="4" t="n"/>
      <c r="E6" s="4" t="n"/>
    </row>
    <row r="7">
      <c r="B7" s="5" t="inlineStr">
        <is>
          <t>Cozinha — alimentar</t>
        </is>
      </c>
      <c r="C7" s="6" t="n">
        <v>794.45</v>
      </c>
      <c r="E7" s="7" t="inlineStr">
        <is>
          <t>Semi-prontos, charcutaria, carnes, mercearia, frescos, padaria e café.</t>
        </is>
      </c>
    </row>
    <row r="8">
      <c r="B8" s="5" t="inlineStr">
        <is>
          <t>Bar — bebidas</t>
        </is>
      </c>
      <c r="C8" s="6" t="n">
        <v>604.5</v>
      </c>
      <c r="E8" s="7" t="inlineStr">
        <is>
          <t>Cervejas, refrigerantes, águas, vinhos, espirituosas e digestivos. NÃO inclui as cervejas da casa — sem custo em sistema.</t>
        </is>
      </c>
    </row>
    <row r="9">
      <c r="B9" s="5" t="inlineStr">
        <is>
          <t>Embalagens de delivery</t>
        </is>
      </c>
      <c r="C9" s="6" t="n">
        <v>202</v>
      </c>
      <c r="E9" s="7" t="inlineStr">
        <is>
          <t>Só necessário se o delivery arrancar em simultâneo. Podes adiar este bloco.</t>
        </is>
      </c>
    </row>
    <row r="10">
      <c r="B10" s="5" t="inlineStr">
        <is>
          <t>Consumíveis e HACCP</t>
        </is>
      </c>
      <c r="C10" s="6" t="n">
        <v>525</v>
      </c>
      <c r="E10" s="7" t="inlineStr">
        <is>
          <t>Não é opcional. Termómetros, registos, luvas, limpeza e etiquetagem são exigência legal.</t>
        </is>
      </c>
    </row>
    <row r="11">
      <c r="B11" s="5" t="inlineStr">
        <is>
          <t>TOTAL</t>
        </is>
      </c>
      <c r="C11" s="6" t="n">
        <v>2125.95</v>
      </c>
      <c r="E11" s="7" t="inlineStr">
        <is>
          <t>Estimativa. Preços marcados EST na lista são meus; os marcados BD vêm dos custos reais em sistema.</t>
        </is>
      </c>
    </row>
    <row r="13">
      <c r="B13" s="3" t="inlineStr">
        <is>
          <t>PRESSUPOSTOS</t>
        </is>
      </c>
      <c r="C13" s="4" t="n"/>
      <c r="D13" s="4" t="n"/>
      <c r="E13" s="4" t="n"/>
    </row>
    <row r="14">
      <c r="B14" s="5" t="inlineStr">
        <is>
          <t>Volume</t>
        </is>
      </c>
      <c r="E14" s="7" t="inlineStr">
        <is>
          <t>10 clientes/dia × 6 dias = 60 clientes/semana.</t>
        </is>
      </c>
    </row>
    <row r="15">
      <c r="B15" s="5" t="inlineStr">
        <is>
          <t>Repartição do dia</t>
        </is>
      </c>
      <c r="E15" s="7" t="inlineStr">
        <is>
          <t>30% pequeno-almoço (18/sem) · 30% almoço (15/sem) · 40% petiscos (24/sem).</t>
        </is>
      </c>
    </row>
    <row r="16">
      <c r="B16" s="5" t="inlineStr">
        <is>
          <t>Petiscos</t>
        </is>
      </c>
      <c r="E16" s="7" t="inlineStr">
        <is>
          <t>0,8 doses por cliente de petiscos = ~19 doses/semana repartidas por 11 itens.</t>
        </is>
      </c>
    </row>
    <row r="17">
      <c r="B17" s="5" t="inlineStr">
        <is>
          <t>Almoço</t>
        </is>
      </c>
      <c r="E17" s="7" t="inlineStr">
        <is>
          <t>Bitoque absorve 55% (8/sem); os 6 PF repartem os restantes 7 — cerca de 1,1 doses por prato por semana.</t>
        </is>
      </c>
    </row>
    <row r="18">
      <c r="B18" s="5" t="inlineStr">
        <is>
          <t>Horizonte de compra</t>
        </is>
      </c>
      <c r="E18" s="7" t="inlineStr">
        <is>
          <t>Congelados e secos: formato mínimo, que dura semanas. Frescos: 2-3 dias apenas.</t>
        </is>
      </c>
    </row>
    <row r="19">
      <c r="B19" s="5" t="inlineStr">
        <is>
          <t>Preços</t>
        </is>
      </c>
      <c r="E19" s="7" t="inlineStr">
        <is>
          <t>Marcados BD = custo real de stock_items (Makro). Marcados EST = estimativa minha de cash &amp; carry, a validar.</t>
        </is>
      </c>
    </row>
    <row r="21">
      <c r="B21" s="3" t="inlineStr">
        <is>
          <t>⚠️ O QUE ESTES NÚMEROS DIZEM</t>
        </is>
      </c>
      <c r="C21" s="4" t="n"/>
      <c r="D21" s="4" t="n"/>
      <c r="E21" s="4" t="n"/>
    </row>
    <row r="22">
      <c r="B22" s="5" t="inlineStr">
        <is>
          <t>Leitura honesta</t>
        </is>
      </c>
      <c r="E22" s="7" t="inlineStr">
        <is>
          <t>A 10 clientes/dia, o problema não é o dinheiro da lista — são 2.126 €, o que é perfeitamente comportável com o orçamento de arranque. O problema é que a carta é grande demais para este volume. Ver a folha "Alerta de Volume".</t>
        </is>
      </c>
    </row>
    <row r="23">
      <c r="B23" s="5" t="inlineStr">
        <is>
          <t>Cada PF vende 1,1 doses/semana</t>
        </is>
      </c>
      <c r="E23" s="7" t="inlineStr">
        <is>
          <t>Cinco pratos rotativos mais peixe do dia, a pouco mais de uma dose por semana cada. Não se compra peixe fresco para uma dose.</t>
        </is>
      </c>
    </row>
    <row r="24">
      <c r="B24" s="5" t="inlineStr">
        <is>
          <t>23 artigos caducam antes de escoar</t>
        </is>
      </c>
      <c r="E24" s="7" t="inlineStr">
        <is>
          <t>Cerca de 164 € de produto em risco de ir ao lixo no primeiro ciclo, mesmo comprando no formato mínimo.</t>
        </is>
      </c>
    </row>
    <row r="25">
      <c r="B25" s="5" t="inlineStr">
        <is>
          <t>A Tábua da Casa é o pior caso</t>
        </is>
      </c>
      <c r="E25" s="7" t="inlineStr">
        <is>
          <t>1,5 tábuas/semana com Queijo da Serra e Azeitão abertos. O Azeitão caduca cinco vezes antes de a peça acabar.</t>
        </is>
      </c>
    </row>
  </sheetData>
  <mergeCells count="10">
    <mergeCell ref="E23"/>
    <mergeCell ref="E17"/>
    <mergeCell ref="E18"/>
    <mergeCell ref="E15"/>
    <mergeCell ref="E25"/>
    <mergeCell ref="E16"/>
    <mergeCell ref="E19"/>
    <mergeCell ref="E24"/>
    <mergeCell ref="E22"/>
    <mergeCell ref="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4" customWidth="1" min="2" max="2"/>
    <col width="15" customWidth="1" min="3" max="3"/>
    <col width="8" customWidth="1" min="4" max="4"/>
    <col width="12" customWidth="1" min="5" max="5"/>
    <col width="14" customWidth="1" min="6" max="6"/>
    <col width="14" customWidth="1" min="7" max="7"/>
    <col width="18" customWidth="1" min="8" max="8"/>
    <col width="15" customWidth="1" min="9" max="9"/>
    <col width="11" customWidth="1" min="10" max="10"/>
    <col width="58" customWidth="1" min="11" max="11"/>
  </cols>
  <sheetData>
    <row r="1">
      <c r="A1" s="8" t="inlineStr">
        <is>
          <t>COZINHA — ALIMENTAR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2" t="inlineStr">
        <is>
          <t>Quantidades dimensionadas para 10 clientes/dia. Congelados e secos no formato mínimo; frescos só para 2-3 dias.</t>
        </is>
      </c>
    </row>
    <row r="4" ht="32" customHeight="1">
      <c r="A4" s="10" t="inlineStr">
        <is>
          <t>Artigo</t>
        </is>
      </c>
      <c r="B4" s="10" t="inlineStr">
        <is>
          <t>Formato de compra</t>
        </is>
      </c>
      <c r="C4" s="10" t="inlineStr">
        <is>
          <t>Preço/formato (€)</t>
        </is>
      </c>
      <c r="D4" s="10" t="inlineStr">
        <is>
          <t>Fonte</t>
        </is>
      </c>
      <c r="E4" s="10" t="inlineStr">
        <is>
          <t>Qtd a comprar</t>
        </is>
      </c>
      <c r="F4" s="10" t="inlineStr">
        <is>
          <t>Custo total (€)</t>
        </is>
      </c>
      <c r="G4" s="10" t="inlineStr">
        <is>
          <t>Conservação</t>
        </is>
      </c>
      <c r="H4" s="10" t="inlineStr">
        <is>
          <t>Validade</t>
        </is>
      </c>
      <c r="I4" s="10" t="inlineStr">
        <is>
          <t>Consumo/semana</t>
        </is>
      </c>
      <c r="J4" s="10" t="inlineStr">
        <is>
          <t>Risco</t>
        </is>
      </c>
      <c r="K4" s="10" t="inlineStr">
        <is>
          <t>Nota da Chef</t>
        </is>
      </c>
    </row>
    <row r="5">
      <c r="A5" s="3" t="inlineStr">
        <is>
          <t>Semi-prontos congelados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1" t="inlineStr">
        <is>
          <t>Pastéis de bacalhau congelados</t>
        </is>
      </c>
      <c r="B6" s="12" t="inlineStr">
        <is>
          <t>Caixa 100 un</t>
        </is>
      </c>
      <c r="C6" s="13" t="n">
        <v>55</v>
      </c>
      <c r="D6" s="14" t="inlineStr">
        <is>
          <t>BD</t>
        </is>
      </c>
      <c r="E6" s="15" t="n">
        <v>1</v>
      </c>
      <c r="F6" s="16">
        <f>IFERROR(C6*E6,0)</f>
        <v>55</v>
      </c>
      <c r="G6" s="15" t="inlineStr">
        <is>
          <t>Congelado</t>
        </is>
      </c>
      <c r="H6" s="12" t="inlineStr">
        <is>
          <t>12 meses</t>
        </is>
      </c>
      <c r="I6" s="15" t="inlineStr">
        <is>
          <t>13.8 un</t>
        </is>
      </c>
      <c r="J6" s="17" t="inlineStr">
        <is>
          <t>OK</t>
        </is>
      </c>
      <c r="K6" s="18" t="inlineStr">
        <is>
          <t>Consumo 13,8 un/sem (2,3 doses × 6 un). Uma caixa dá ~7 semanas.</t>
        </is>
      </c>
    </row>
    <row r="7">
      <c r="A7" s="11" t="inlineStr">
        <is>
          <t>Rissóis de gambas congelados</t>
        </is>
      </c>
      <c r="B7" s="12" t="inlineStr">
        <is>
          <t>Caixa 100 un</t>
        </is>
      </c>
      <c r="C7" s="13" t="n">
        <v>45</v>
      </c>
      <c r="D7" s="14" t="inlineStr">
        <is>
          <t>BD</t>
        </is>
      </c>
      <c r="E7" s="15" t="n">
        <v>1</v>
      </c>
      <c r="F7" s="16">
        <f>IFERROR(C7*E7,0)</f>
        <v>45</v>
      </c>
      <c r="G7" s="15" t="inlineStr">
        <is>
          <t>Congelado</t>
        </is>
      </c>
      <c r="H7" s="12" t="inlineStr">
        <is>
          <t>12 meses</t>
        </is>
      </c>
      <c r="I7" s="15" t="inlineStr">
        <is>
          <t>10 un</t>
        </is>
      </c>
      <c r="J7" s="17" t="inlineStr">
        <is>
          <t>OK</t>
        </is>
      </c>
      <c r="K7" s="18" t="inlineStr">
        <is>
          <t>Consumo 10 un/sem (2,0 doses × 5 un). Uma caixa dá ~10 semanas.</t>
        </is>
      </c>
    </row>
    <row r="8">
      <c r="A8" s="11" t="inlineStr">
        <is>
          <t>Coxinhas de frango congeladas</t>
        </is>
      </c>
      <c r="B8" s="12" t="inlineStr">
        <is>
          <t>Caixa 100 un</t>
        </is>
      </c>
      <c r="C8" s="13" t="n">
        <v>50</v>
      </c>
      <c r="D8" s="14" t="inlineStr">
        <is>
          <t>BD</t>
        </is>
      </c>
      <c r="E8" s="15" t="n">
        <v>1</v>
      </c>
      <c r="F8" s="16">
        <f>IFERROR(C8*E8,0)</f>
        <v>50</v>
      </c>
      <c r="G8" s="15" t="inlineStr">
        <is>
          <t>Congelado</t>
        </is>
      </c>
      <c r="H8" s="12" t="inlineStr">
        <is>
          <t>12 meses</t>
        </is>
      </c>
      <c r="I8" s="15" t="inlineStr">
        <is>
          <t>12.5 un</t>
        </is>
      </c>
      <c r="J8" s="17" t="inlineStr">
        <is>
          <t>OK</t>
        </is>
      </c>
      <c r="K8" s="18" t="inlineStr">
        <is>
          <t>O petisco mais vendido do modelo. Uma caixa dá ~8 semanas.</t>
        </is>
      </c>
    </row>
    <row r="9">
      <c r="A9" s="11" t="inlineStr">
        <is>
          <t>Pastéis de vento congelados (queijo)</t>
        </is>
      </c>
      <c r="B9" s="12" t="inlineStr">
        <is>
          <t>Caixa 100 un</t>
        </is>
      </c>
      <c r="C9" s="13" t="n">
        <v>40</v>
      </c>
      <c r="D9" s="14" t="inlineStr">
        <is>
          <t>BD</t>
        </is>
      </c>
      <c r="E9" s="15" t="n">
        <v>1</v>
      </c>
      <c r="F9" s="16">
        <f>IFERROR(C9*E9,0)</f>
        <v>40</v>
      </c>
      <c r="G9" s="15" t="inlineStr">
        <is>
          <t>Congelado</t>
        </is>
      </c>
      <c r="H9" s="12" t="inlineStr">
        <is>
          <t>12 meses</t>
        </is>
      </c>
      <c r="I9" s="15" t="inlineStr">
        <is>
          <t>5.1 un</t>
        </is>
      </c>
      <c r="J9" s="17" t="inlineStr">
        <is>
          <t>OK</t>
        </is>
      </c>
      <c r="K9" s="18" t="inlineStr">
        <is>
          <t>Só 2 recheios na v2 (queijo + carne). Metade de cada.</t>
        </is>
      </c>
    </row>
    <row r="10">
      <c r="A10" s="11" t="inlineStr">
        <is>
          <t>Pastéis de vento congelados (carne)</t>
        </is>
      </c>
      <c r="B10" s="12" t="inlineStr">
        <is>
          <t>Caixa 100 un</t>
        </is>
      </c>
      <c r="C10" s="13" t="n">
        <v>40</v>
      </c>
      <c r="D10" s="14" t="inlineStr">
        <is>
          <t>BD</t>
        </is>
      </c>
      <c r="E10" s="15" t="n">
        <v>1</v>
      </c>
      <c r="F10" s="16">
        <f>IFERROR(C10*E10,0)</f>
        <v>40</v>
      </c>
      <c r="G10" s="15" t="inlineStr">
        <is>
          <t>Congelado</t>
        </is>
      </c>
      <c r="H10" s="12" t="inlineStr">
        <is>
          <t>12 meses</t>
        </is>
      </c>
      <c r="I10" s="15" t="inlineStr">
        <is>
          <t>5.1 un</t>
        </is>
      </c>
      <c r="J10" s="17" t="inlineStr">
        <is>
          <t>OK</t>
        </is>
      </c>
      <c r="K10" s="18" t="inlineStr"/>
    </row>
    <row r="11">
      <c r="A11" s="11" t="inlineStr">
        <is>
          <t>Bolinhas de feijoada congeladas</t>
        </is>
      </c>
      <c r="B11" s="12" t="inlineStr">
        <is>
          <t>Caixa 100 un</t>
        </is>
      </c>
      <c r="C11" s="13" t="n">
        <v>45</v>
      </c>
      <c r="D11" s="14" t="inlineStr">
        <is>
          <t>BD</t>
        </is>
      </c>
      <c r="E11" s="15" t="n">
        <v>1</v>
      </c>
      <c r="F11" s="16">
        <f>IFERROR(C11*E11,0)</f>
        <v>45</v>
      </c>
      <c r="G11" s="15" t="inlineStr">
        <is>
          <t>Congelado</t>
        </is>
      </c>
      <c r="H11" s="12" t="inlineStr">
        <is>
          <t>12 meses</t>
        </is>
      </c>
      <c r="I11" s="15" t="inlineStr">
        <is>
          <t>6.5 un</t>
        </is>
      </c>
      <c r="J11" s="17" t="inlineStr">
        <is>
          <t>OK</t>
        </is>
      </c>
      <c r="K11" s="18" t="inlineStr">
        <is>
          <t>Consumo 6,5 un/sem. Uma caixa dá ~15 semanas — é muito, mas não há formato menor.</t>
        </is>
      </c>
    </row>
    <row r="12">
      <c r="A12" s="11" t="inlineStr">
        <is>
          <t>Bolinhas de mandioca congeladas</t>
        </is>
      </c>
      <c r="B12" s="12" t="inlineStr">
        <is>
          <t>Caixa 100 un</t>
        </is>
      </c>
      <c r="C12" s="13" t="n">
        <v>45</v>
      </c>
      <c r="D12" s="14" t="inlineStr">
        <is>
          <t>BD</t>
        </is>
      </c>
      <c r="E12" s="15" t="n">
        <v>1</v>
      </c>
      <c r="F12" s="16">
        <f>IFERROR(C12*E12,0)</f>
        <v>45</v>
      </c>
      <c r="G12" s="15" t="inlineStr">
        <is>
          <t>Congelado</t>
        </is>
      </c>
      <c r="H12" s="12" t="inlineStr">
        <is>
          <t>12 meses</t>
        </is>
      </c>
      <c r="I12" s="15" t="inlineStr">
        <is>
          <t>7.5 un</t>
        </is>
      </c>
      <c r="J12" s="17" t="inlineStr">
        <is>
          <t>OK</t>
        </is>
      </c>
      <c r="K12" s="18" t="inlineStr"/>
    </row>
    <row r="13">
      <c r="A13" s="11" t="inlineStr">
        <is>
          <t>Pão de queijo congelado</t>
        </is>
      </c>
      <c r="B13" s="12" t="inlineStr">
        <is>
          <t>Saco 1 kg (~50 un)</t>
        </is>
      </c>
      <c r="C13" s="13" t="n">
        <v>7.5</v>
      </c>
      <c r="D13" s="14" t="inlineStr">
        <is>
          <t>BD</t>
        </is>
      </c>
      <c r="E13" s="15" t="n">
        <v>1</v>
      </c>
      <c r="F13" s="16">
        <f>IFERROR(C13*E13,0)</f>
        <v>7.5</v>
      </c>
      <c r="G13" s="15" t="inlineStr">
        <is>
          <t>Congelado</t>
        </is>
      </c>
      <c r="H13" s="12" t="inlineStr">
        <is>
          <t>12 meses</t>
        </is>
      </c>
      <c r="I13" s="15" t="inlineStr">
        <is>
          <t>7.5 un</t>
        </is>
      </c>
      <c r="J13" s="17" t="inlineStr">
        <is>
          <t>OK</t>
        </is>
      </c>
      <c r="K13" s="18" t="inlineStr">
        <is>
          <t>Também usado no Combo Brasileiro.</t>
        </is>
      </c>
    </row>
    <row r="14">
      <c r="A14" s="3" t="inlineStr">
        <is>
          <t>Charcutaria e queijos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1" t="inlineStr">
        <is>
          <t>Queijo da Serra (meia cura)</t>
        </is>
      </c>
      <c r="B15" s="12" t="inlineStr">
        <is>
          <t>Peça ~1,1 kg</t>
        </is>
      </c>
      <c r="C15" s="13" t="n">
        <v>22</v>
      </c>
      <c r="D15" s="19" t="inlineStr">
        <is>
          <t>EST</t>
        </is>
      </c>
      <c r="E15" s="15" t="n">
        <v>1</v>
      </c>
      <c r="F15" s="16">
        <f>IFERROR(C15*E15,0)</f>
        <v>22</v>
      </c>
      <c r="G15" s="15" t="inlineStr">
        <is>
          <t>Refrigerado</t>
        </is>
      </c>
      <c r="H15" s="12" t="inlineStr">
        <is>
          <t>30 dias (fechado)</t>
        </is>
      </c>
      <c r="I15" s="15" t="inlineStr">
        <is>
          <t>0.12 kg</t>
        </is>
      </c>
      <c r="J15" s="20" t="inlineStr">
        <is>
          <t>ALTO</t>
        </is>
      </c>
      <c r="K15" s="18" t="inlineStr">
        <is>
          <t>RISCO: 1,5 tábuas/semana consomem ~120 g. Uma peça inteira dura 9 semanas — não aguenta. Comprar a peça mais pequena que houver e assumir perda, ou tirar a tábua da carta.</t>
        </is>
      </c>
    </row>
    <row r="16">
      <c r="A16" s="11" t="inlineStr">
        <is>
          <t>Queijo de Azeitão</t>
        </is>
      </c>
      <c r="B16" s="12" t="inlineStr">
        <is>
          <t>Peça ~250 g</t>
        </is>
      </c>
      <c r="C16" s="13" t="n">
        <v>6.5</v>
      </c>
      <c r="D16" s="19" t="inlineStr">
        <is>
          <t>EST</t>
        </is>
      </c>
      <c r="E16" s="15" t="n">
        <v>1</v>
      </c>
      <c r="F16" s="16">
        <f>IFERROR(C16*E16,0)</f>
        <v>6.5</v>
      </c>
      <c r="G16" s="15" t="inlineStr">
        <is>
          <t>Refrigerado</t>
        </is>
      </c>
      <c r="H16" s="12" t="inlineStr">
        <is>
          <t>21 dias</t>
        </is>
      </c>
      <c r="I16" s="15" t="inlineStr">
        <is>
          <t>0.09 kg</t>
        </is>
      </c>
      <c r="J16" s="21" t="inlineStr">
        <is>
          <t>CRÍTICO</t>
        </is>
      </c>
      <c r="K16" s="18" t="inlineStr">
        <is>
          <t>Mesmo problema. Peça pequena, rotação apertada.</t>
        </is>
      </c>
    </row>
    <row r="17">
      <c r="A17" s="11" t="inlineStr">
        <is>
          <t>Presunto fatiado</t>
        </is>
      </c>
      <c r="B17" s="12" t="inlineStr">
        <is>
          <t>Emb. 500 g</t>
        </is>
      </c>
      <c r="C17" s="13" t="n">
        <v>12</v>
      </c>
      <c r="D17" s="19" t="inlineStr">
        <is>
          <t>EST</t>
        </is>
      </c>
      <c r="E17" s="15" t="n">
        <v>1</v>
      </c>
      <c r="F17" s="16">
        <f>IFERROR(C17*E17,0)</f>
        <v>12</v>
      </c>
      <c r="G17" s="15" t="inlineStr">
        <is>
          <t>Refrigerado</t>
        </is>
      </c>
      <c r="H17" s="12" t="inlineStr">
        <is>
          <t>30 dias (vácuo)</t>
        </is>
      </c>
      <c r="I17" s="15" t="inlineStr">
        <is>
          <t>0.09 kg</t>
        </is>
      </c>
      <c r="J17" s="20" t="inlineStr">
        <is>
          <t>ALTO</t>
        </is>
      </c>
      <c r="K17" s="18" t="inlineStr"/>
    </row>
    <row r="18">
      <c r="A18" s="11" t="inlineStr">
        <is>
          <t>Chouriço de carne</t>
        </is>
      </c>
      <c r="B18" s="12" t="inlineStr">
        <is>
          <t>Peça ~300 g</t>
        </is>
      </c>
      <c r="C18" s="13" t="n">
        <v>4.5</v>
      </c>
      <c r="D18" s="19" t="inlineStr">
        <is>
          <t>EST</t>
        </is>
      </c>
      <c r="E18" s="15" t="n">
        <v>1</v>
      </c>
      <c r="F18" s="16">
        <f>IFERROR(C18*E18,0)</f>
        <v>4.5</v>
      </c>
      <c r="G18" s="15" t="inlineStr">
        <is>
          <t>Refrigerado</t>
        </is>
      </c>
      <c r="H18" s="12" t="inlineStr">
        <is>
          <t>60 dias</t>
        </is>
      </c>
      <c r="I18" s="15" t="inlineStr">
        <is>
          <t>0.08 kg</t>
        </is>
      </c>
      <c r="J18" s="22" t="inlineStr">
        <is>
          <t>MÉDIO</t>
        </is>
      </c>
      <c r="K18" s="18" t="inlineStr"/>
    </row>
    <row r="19">
      <c r="A19" s="11" t="inlineStr">
        <is>
          <t>Paio</t>
        </is>
      </c>
      <c r="B19" s="12" t="inlineStr">
        <is>
          <t>Peça ~300 g</t>
        </is>
      </c>
      <c r="C19" s="13" t="n">
        <v>5.5</v>
      </c>
      <c r="D19" s="19" t="inlineStr">
        <is>
          <t>EST</t>
        </is>
      </c>
      <c r="E19" s="15" t="n">
        <v>1</v>
      </c>
      <c r="F19" s="16">
        <f>IFERROR(C19*E19,0)</f>
        <v>5.5</v>
      </c>
      <c r="G19" s="15" t="inlineStr">
        <is>
          <t>Refrigerado</t>
        </is>
      </c>
      <c r="H19" s="12" t="inlineStr">
        <is>
          <t>60 dias</t>
        </is>
      </c>
      <c r="I19" s="15" t="inlineStr">
        <is>
          <t>0.08 kg</t>
        </is>
      </c>
      <c r="J19" s="22" t="inlineStr">
        <is>
          <t>MÉDIO</t>
        </is>
      </c>
      <c r="K19" s="18" t="inlineStr"/>
    </row>
    <row r="20">
      <c r="A20" s="11" t="inlineStr">
        <is>
          <t>Marmelada</t>
        </is>
      </c>
      <c r="B20" s="12" t="inlineStr">
        <is>
          <t>Bloco 1 kg</t>
        </is>
      </c>
      <c r="C20" s="13" t="n">
        <v>5</v>
      </c>
      <c r="D20" s="19" t="inlineStr">
        <is>
          <t>EST</t>
        </is>
      </c>
      <c r="E20" s="15" t="n">
        <v>1</v>
      </c>
      <c r="F20" s="16">
        <f>IFERROR(C20*E20,0)</f>
        <v>5</v>
      </c>
      <c r="G20" s="15" t="inlineStr">
        <is>
          <t>Ambiente</t>
        </is>
      </c>
      <c r="H20" s="12" t="inlineStr">
        <is>
          <t>12 meses</t>
        </is>
      </c>
      <c r="I20" s="15" t="inlineStr">
        <is>
          <t>0.06 kg</t>
        </is>
      </c>
      <c r="J20" s="17" t="inlineStr">
        <is>
          <t>OK</t>
        </is>
      </c>
      <c r="K20" s="18" t="inlineStr"/>
    </row>
    <row r="21">
      <c r="A21" s="23" t="inlineStr">
        <is>
          <t>Linguiça calabresa</t>
        </is>
      </c>
      <c r="B21" s="24" t="inlineStr">
        <is>
          <t>Emb. 1 kg</t>
        </is>
      </c>
      <c r="C21" s="25" t="n">
        <v>7</v>
      </c>
      <c r="D21" s="26" t="inlineStr">
        <is>
          <t>BD</t>
        </is>
      </c>
      <c r="E21" s="21" t="n">
        <v>1</v>
      </c>
      <c r="F21" s="27">
        <f>IFERROR(C21*E21,0)</f>
        <v>7</v>
      </c>
      <c r="G21" s="21" t="inlineStr">
        <is>
          <t>Refrigerado</t>
        </is>
      </c>
      <c r="H21" s="24" t="inlineStr">
        <is>
          <t>21 dias</t>
        </is>
      </c>
      <c r="I21" s="21" t="inlineStr">
        <is>
          <t>0.45 kg</t>
        </is>
      </c>
      <c r="J21" s="21" t="inlineStr">
        <is>
          <t>OK</t>
        </is>
      </c>
      <c r="K21" s="28" t="inlineStr">
        <is>
          <t>BLOQUEADO até ter a ficha de alergénios do fornecedor. Não comprar antes disso.</t>
        </is>
      </c>
    </row>
    <row r="22">
      <c r="A22" s="11" t="inlineStr">
        <is>
          <t>Bacon fatiado</t>
        </is>
      </c>
      <c r="B22" s="12" t="inlineStr">
        <is>
          <t>Emb. 1 kg</t>
        </is>
      </c>
      <c r="C22" s="13" t="n">
        <v>8.5</v>
      </c>
      <c r="D22" s="14" t="inlineStr">
        <is>
          <t>BD</t>
        </is>
      </c>
      <c r="E22" s="15" t="n">
        <v>1</v>
      </c>
      <c r="F22" s="16">
        <f>IFERROR(C22*E22,0)</f>
        <v>8.5</v>
      </c>
      <c r="G22" s="15" t="inlineStr">
        <is>
          <t>Refrigerado</t>
        </is>
      </c>
      <c r="H22" s="12" t="inlineStr">
        <is>
          <t>21 dias</t>
        </is>
      </c>
      <c r="I22" s="15" t="inlineStr">
        <is>
          <t>0.3 kg</t>
        </is>
      </c>
      <c r="J22" s="22" t="inlineStr">
        <is>
          <t>MÉDIO</t>
        </is>
      </c>
      <c r="K22" s="18" t="inlineStr"/>
    </row>
    <row r="23">
      <c r="A23" s="11" t="inlineStr">
        <is>
          <t>Fiambre fatiado</t>
        </is>
      </c>
      <c r="B23" s="12" t="inlineStr">
        <is>
          <t>Emb. 1 kg</t>
        </is>
      </c>
      <c r="C23" s="13" t="n">
        <v>7</v>
      </c>
      <c r="D23" s="14" t="inlineStr">
        <is>
          <t>BD</t>
        </is>
      </c>
      <c r="E23" s="15" t="n">
        <v>1</v>
      </c>
      <c r="F23" s="16">
        <f>IFERROR(C23*E23,0)</f>
        <v>7</v>
      </c>
      <c r="G23" s="15" t="inlineStr">
        <is>
          <t>Refrigerado</t>
        </is>
      </c>
      <c r="H23" s="12" t="inlineStr">
        <is>
          <t>14 dias</t>
        </is>
      </c>
      <c r="I23" s="15" t="inlineStr">
        <is>
          <t>0.2 kg</t>
        </is>
      </c>
      <c r="J23" s="20" t="inlineStr">
        <is>
          <t>ALTO</t>
        </is>
      </c>
      <c r="K23" s="18" t="inlineStr">
        <is>
          <t>Tostas e croissants mistos: ~5,4 fatias/semana.</t>
        </is>
      </c>
    </row>
    <row r="24">
      <c r="A24" s="11" t="inlineStr">
        <is>
          <t>Queijo fatiado (flamengo)</t>
        </is>
      </c>
      <c r="B24" s="12" t="inlineStr">
        <is>
          <t>Emb. 1 kg</t>
        </is>
      </c>
      <c r="C24" s="13" t="n">
        <v>8</v>
      </c>
      <c r="D24" s="14" t="inlineStr">
        <is>
          <t>BD</t>
        </is>
      </c>
      <c r="E24" s="15" t="n">
        <v>1</v>
      </c>
      <c r="F24" s="16">
        <f>IFERROR(C24*E24,0)</f>
        <v>8</v>
      </c>
      <c r="G24" s="15" t="inlineStr">
        <is>
          <t>Refrigerado</t>
        </is>
      </c>
      <c r="H24" s="12" t="inlineStr">
        <is>
          <t>21 dias</t>
        </is>
      </c>
      <c r="I24" s="15" t="inlineStr">
        <is>
          <t>0.25 kg</t>
        </is>
      </c>
      <c r="J24" s="22" t="inlineStr">
        <is>
          <t>MÉDIO</t>
        </is>
      </c>
      <c r="K24" s="18" t="inlineStr"/>
    </row>
    <row r="25">
      <c r="A25" s="11" t="inlineStr">
        <is>
          <t>Cheddar em fatias</t>
        </is>
      </c>
      <c r="B25" s="12" t="inlineStr">
        <is>
          <t>Emb. 1 kg</t>
        </is>
      </c>
      <c r="C25" s="13" t="n">
        <v>9.5</v>
      </c>
      <c r="D25" s="14" t="inlineStr">
        <is>
          <t>BD</t>
        </is>
      </c>
      <c r="E25" s="15" t="n">
        <v>1</v>
      </c>
      <c r="F25" s="16">
        <f>IFERROR(C25*E25,0)</f>
        <v>9.5</v>
      </c>
      <c r="G25" s="15" t="inlineStr">
        <is>
          <t>Refrigerado</t>
        </is>
      </c>
      <c r="H25" s="12" t="inlineStr">
        <is>
          <t>21 dias</t>
        </is>
      </c>
      <c r="I25" s="15" t="inlineStr">
        <is>
          <t>0.25 kg</t>
        </is>
      </c>
      <c r="J25" s="22" t="inlineStr">
        <is>
          <t>MÉDIO</t>
        </is>
      </c>
      <c r="K25" s="18" t="inlineStr"/>
    </row>
    <row r="26">
      <c r="A26" s="11" t="inlineStr">
        <is>
          <t>Requeijão / cream cheese</t>
        </is>
      </c>
      <c r="B26" s="12" t="inlineStr">
        <is>
          <t>Balde 1,5 kg</t>
        </is>
      </c>
      <c r="C26" s="13" t="n">
        <v>9</v>
      </c>
      <c r="D26" s="19" t="inlineStr">
        <is>
          <t>EST</t>
        </is>
      </c>
      <c r="E26" s="15" t="n">
        <v>1</v>
      </c>
      <c r="F26" s="16">
        <f>IFERROR(C26*E26,0)</f>
        <v>9</v>
      </c>
      <c r="G26" s="15" t="inlineStr">
        <is>
          <t>Refrigerado</t>
        </is>
      </c>
      <c r="H26" s="12" t="inlineStr">
        <is>
          <t>30 dias</t>
        </is>
      </c>
      <c r="I26" s="15" t="inlineStr">
        <is>
          <t>0.1 kg</t>
        </is>
      </c>
      <c r="J26" s="20" t="inlineStr">
        <is>
          <t>ALTO</t>
        </is>
      </c>
      <c r="K26" s="18" t="inlineStr">
        <is>
          <t>Recheio da coxinha, se produção própria. Se comprares congelado pronto, sai da lista.</t>
        </is>
      </c>
    </row>
    <row r="27">
      <c r="A27" s="3" t="inlineStr">
        <is>
          <t>Carnes e peixe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1" t="inlineStr">
        <is>
          <t>Bife de vaca (acém/vazia) p/ Bitoque e PF</t>
        </is>
      </c>
      <c r="B28" s="12" t="inlineStr">
        <is>
          <t>kg</t>
        </is>
      </c>
      <c r="C28" s="13" t="n">
        <v>13.5</v>
      </c>
      <c r="D28" s="19" t="inlineStr">
        <is>
          <t>EST</t>
        </is>
      </c>
      <c r="E28" s="15" t="n">
        <v>1</v>
      </c>
      <c r="F28" s="16">
        <f>IFERROR(C28*E28,0)</f>
        <v>13.5</v>
      </c>
      <c r="G28" s="15" t="inlineStr">
        <is>
          <t>Fresco</t>
        </is>
      </c>
      <c r="H28" s="12" t="inlineStr">
        <is>
          <t>3 dias (refrig.)</t>
        </is>
      </c>
      <c r="I28" s="15" t="inlineStr">
        <is>
          <t>2.2 kg</t>
        </is>
      </c>
      <c r="J28" s="22" t="inlineStr">
        <is>
          <t>MÉDIO</t>
        </is>
      </c>
      <c r="K28" s="18" t="inlineStr">
        <is>
          <t>8 bitoques + 1,1 PF Bife Acebolado por semana, ~180 g cada. Comprar 2x/semana em fresco, ou congelar em doses.</t>
        </is>
      </c>
    </row>
    <row r="29">
      <c r="A29" s="11" t="inlineStr">
        <is>
          <t>Peito de frango</t>
        </is>
      </c>
      <c r="B29" s="12" t="inlineStr">
        <is>
          <t>kg</t>
        </is>
      </c>
      <c r="C29" s="13" t="n">
        <v>6.5</v>
      </c>
      <c r="D29" s="19" t="inlineStr">
        <is>
          <t>EST</t>
        </is>
      </c>
      <c r="E29" s="15" t="n">
        <v>1</v>
      </c>
      <c r="F29" s="16">
        <f>IFERROR(C29*E29,0)</f>
        <v>6.5</v>
      </c>
      <c r="G29" s="15" t="inlineStr">
        <is>
          <t>Fresco</t>
        </is>
      </c>
      <c r="H29" s="12" t="inlineStr">
        <is>
          <t>3 dias</t>
        </is>
      </c>
      <c r="I29" s="15" t="inlineStr">
        <is>
          <t>0.25 kg</t>
        </is>
      </c>
      <c r="J29" s="21" t="inlineStr">
        <is>
          <t>CRÍTICO</t>
        </is>
      </c>
      <c r="K29" s="18" t="inlineStr">
        <is>
          <t>1,1 doses/semana. Congelar em doses individuais.</t>
        </is>
      </c>
    </row>
    <row r="30">
      <c r="A30" s="11" t="inlineStr">
        <is>
          <t>Entremeada de porco</t>
        </is>
      </c>
      <c r="B30" s="12" t="inlineStr">
        <is>
          <t>kg</t>
        </is>
      </c>
      <c r="C30" s="13" t="n">
        <v>7</v>
      </c>
      <c r="D30" s="19" t="inlineStr">
        <is>
          <t>EST</t>
        </is>
      </c>
      <c r="E30" s="15" t="n">
        <v>1</v>
      </c>
      <c r="F30" s="16">
        <f>IFERROR(C30*E30,0)</f>
        <v>7</v>
      </c>
      <c r="G30" s="15" t="inlineStr">
        <is>
          <t>Fresco</t>
        </is>
      </c>
      <c r="H30" s="12" t="inlineStr">
        <is>
          <t>3 dias</t>
        </is>
      </c>
      <c r="I30" s="15" t="inlineStr">
        <is>
          <t>0.25 kg</t>
        </is>
      </c>
      <c r="J30" s="21" t="inlineStr">
        <is>
          <t>CRÍTICO</t>
        </is>
      </c>
      <c r="K30" s="18" t="inlineStr">
        <is>
          <t>1,1 doses/semana.</t>
        </is>
      </c>
    </row>
    <row r="31">
      <c r="A31" s="11" t="inlineStr">
        <is>
          <t>Lombo de porco (Pica-Pau)</t>
        </is>
      </c>
      <c r="B31" s="12" t="inlineStr">
        <is>
          <t>kg</t>
        </is>
      </c>
      <c r="C31" s="13" t="n">
        <v>8</v>
      </c>
      <c r="D31" s="19" t="inlineStr">
        <is>
          <t>EST</t>
        </is>
      </c>
      <c r="E31" s="15" t="n">
        <v>1</v>
      </c>
      <c r="F31" s="16">
        <f>IFERROR(C31*E31,0)</f>
        <v>8</v>
      </c>
      <c r="G31" s="15" t="inlineStr">
        <is>
          <t>Fresco</t>
        </is>
      </c>
      <c r="H31" s="12" t="inlineStr">
        <is>
          <t>3 dias</t>
        </is>
      </c>
      <c r="I31" s="15" t="inlineStr">
        <is>
          <t>0.25 kg</t>
        </is>
      </c>
      <c r="J31" s="21" t="inlineStr">
        <is>
          <t>CRÍTICO</t>
        </is>
      </c>
      <c r="K31" s="18" t="inlineStr">
        <is>
          <t>1,5 doses/semana × ~160 g.</t>
        </is>
      </c>
    </row>
    <row r="32">
      <c r="A32" s="11" t="inlineStr">
        <is>
          <t>Carne de sol</t>
        </is>
      </c>
      <c r="B32" s="12" t="inlineStr">
        <is>
          <t>kg</t>
        </is>
      </c>
      <c r="C32" s="13" t="n">
        <v>14</v>
      </c>
      <c r="D32" s="19" t="inlineStr">
        <is>
          <t>EST</t>
        </is>
      </c>
      <c r="E32" s="15" t="n">
        <v>1</v>
      </c>
      <c r="F32" s="16">
        <f>IFERROR(C32*E32,0)</f>
        <v>14</v>
      </c>
      <c r="G32" s="15" t="inlineStr">
        <is>
          <t>Refrigerado</t>
        </is>
      </c>
      <c r="H32" s="12" t="inlineStr">
        <is>
          <t>21 dias (salgada)</t>
        </is>
      </c>
      <c r="I32" s="15" t="inlineStr">
        <is>
          <t>0.22 kg</t>
        </is>
      </c>
      <c r="J32" s="20" t="inlineStr">
        <is>
          <t>ALTO</t>
        </is>
      </c>
      <c r="K32" s="18" t="inlineStr">
        <is>
          <t>Vantagem: sendo salgada aguenta. É das poucas carnes da carta que sobrevive a este volume.</t>
        </is>
      </c>
    </row>
    <row r="33">
      <c r="A33" s="11" t="inlineStr">
        <is>
          <t>Moelas de frango</t>
        </is>
      </c>
      <c r="B33" s="12" t="inlineStr">
        <is>
          <t>kg</t>
        </is>
      </c>
      <c r="C33" s="13" t="n">
        <v>4.5</v>
      </c>
      <c r="D33" s="14" t="inlineStr">
        <is>
          <t>BD</t>
        </is>
      </c>
      <c r="E33" s="15" t="n">
        <v>1</v>
      </c>
      <c r="F33" s="16">
        <f>IFERROR(C33*E33,0)</f>
        <v>4.5</v>
      </c>
      <c r="G33" s="15" t="inlineStr">
        <is>
          <t>Fresco</t>
        </is>
      </c>
      <c r="H33" s="12" t="inlineStr">
        <is>
          <t>2 dias / congelar</t>
        </is>
      </c>
      <c r="I33" s="15" t="inlineStr">
        <is>
          <t>0.55 kg</t>
        </is>
      </c>
      <c r="J33" s="21" t="inlineStr">
        <is>
          <t>CRÍTICO</t>
        </is>
      </c>
      <c r="K33" s="18" t="inlineStr">
        <is>
          <t>Estufar em lote e congelar em doses — é o que salva este prato a 1,3 doses/semana.</t>
        </is>
      </c>
    </row>
    <row r="34">
      <c r="A34" s="11" t="inlineStr">
        <is>
          <t>Bacalhau desfiado demolhado congelado</t>
        </is>
      </c>
      <c r="B34" s="12" t="inlineStr">
        <is>
          <t>Emb. 1 kg</t>
        </is>
      </c>
      <c r="C34" s="13" t="n">
        <v>12</v>
      </c>
      <c r="D34" s="19" t="inlineStr">
        <is>
          <t>EST</t>
        </is>
      </c>
      <c r="E34" s="15" t="n">
        <v>1</v>
      </c>
      <c r="F34" s="16">
        <f>IFERROR(C34*E34,0)</f>
        <v>12</v>
      </c>
      <c r="G34" s="15" t="inlineStr">
        <is>
          <t>Congelado</t>
        </is>
      </c>
      <c r="H34" s="12" t="inlineStr">
        <is>
          <t>12 meses</t>
        </is>
      </c>
      <c r="I34" s="15" t="inlineStr">
        <is>
          <t>0.2 kg</t>
        </is>
      </c>
      <c r="J34" s="17" t="inlineStr">
        <is>
          <t>OK</t>
        </is>
      </c>
      <c r="K34" s="18" t="inlineStr">
        <is>
          <t>Bacalhau à Brás, 1,1 doses/semana.</t>
        </is>
      </c>
    </row>
    <row r="35">
      <c r="A35" s="23" t="inlineStr">
        <is>
          <t>Peixe fresco do dia</t>
        </is>
      </c>
      <c r="B35" s="24" t="inlineStr">
        <is>
          <t>kg</t>
        </is>
      </c>
      <c r="C35" s="25" t="n">
        <v>9</v>
      </c>
      <c r="D35" s="29" t="inlineStr">
        <is>
          <t>EST</t>
        </is>
      </c>
      <c r="E35" s="21" t="n">
        <v>0</v>
      </c>
      <c r="F35" s="27">
        <f>IFERROR(C35*E35,0)</f>
        <v>0</v>
      </c>
      <c r="G35" s="21" t="inlineStr">
        <is>
          <t>Fresco</t>
        </is>
      </c>
      <c r="H35" s="24" t="inlineStr">
        <is>
          <t>1 dia</t>
        </is>
      </c>
      <c r="I35" s="21" t="inlineStr">
        <is>
          <t>0.25 kg</t>
        </is>
      </c>
      <c r="J35" s="21" t="inlineStr">
        <is>
          <t>OK</t>
        </is>
      </c>
      <c r="K35" s="28" t="inlineStr">
        <is>
          <t>NÃO COMPRAR PARA STOCK. 1,1 doses/semana torna isto inviável em fresco — ver folha "Alerta de Volume".</t>
        </is>
      </c>
    </row>
    <row r="36">
      <c r="A36" s="3" t="inlineStr">
        <is>
          <t>Mercearia e secos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1" t="inlineStr">
        <is>
          <t>Arroz agulha</t>
        </is>
      </c>
      <c r="B37" s="12" t="inlineStr">
        <is>
          <t>Saco 5 kg</t>
        </is>
      </c>
      <c r="C37" s="13" t="n">
        <v>5.5</v>
      </c>
      <c r="D37" s="19" t="inlineStr">
        <is>
          <t>EST</t>
        </is>
      </c>
      <c r="E37" s="15" t="n">
        <v>1</v>
      </c>
      <c r="F37" s="16">
        <f>IFERROR(C37*E37,0)</f>
        <v>5.5</v>
      </c>
      <c r="G37" s="15" t="inlineStr">
        <is>
          <t>Ambiente</t>
        </is>
      </c>
      <c r="H37" s="12" t="inlineStr">
        <is>
          <t>18 meses</t>
        </is>
      </c>
      <c r="I37" s="15" t="inlineStr">
        <is>
          <t>1.2 kg</t>
        </is>
      </c>
      <c r="J37" s="17" t="inlineStr">
        <is>
          <t>OK</t>
        </is>
      </c>
      <c r="K37" s="18" t="inlineStr">
        <is>
          <t>Base fixa dos PF + Bitoque.</t>
        </is>
      </c>
    </row>
    <row r="38">
      <c r="A38" s="11" t="inlineStr">
        <is>
          <t>Feijão preto</t>
        </is>
      </c>
      <c r="B38" s="12" t="inlineStr">
        <is>
          <t>Saco 5 kg</t>
        </is>
      </c>
      <c r="C38" s="13" t="n">
        <v>9</v>
      </c>
      <c r="D38" s="19" t="inlineStr">
        <is>
          <t>EST</t>
        </is>
      </c>
      <c r="E38" s="15" t="n">
        <v>1</v>
      </c>
      <c r="F38" s="16">
        <f>IFERROR(C38*E38,0)</f>
        <v>9</v>
      </c>
      <c r="G38" s="15" t="inlineStr">
        <is>
          <t>Ambiente</t>
        </is>
      </c>
      <c r="H38" s="12" t="inlineStr">
        <is>
          <t>18 meses</t>
        </is>
      </c>
      <c r="I38" s="15" t="inlineStr">
        <is>
          <t>0.6 kg</t>
        </is>
      </c>
      <c r="J38" s="17" t="inlineStr">
        <is>
          <t>OK</t>
        </is>
      </c>
      <c r="K38" s="18" t="inlineStr">
        <is>
          <t>Base fixa dos PF (a confirmar na definição).</t>
        </is>
      </c>
    </row>
    <row r="39">
      <c r="A39" s="11" t="inlineStr">
        <is>
          <t>Farinha de mandioca (farofa)</t>
        </is>
      </c>
      <c r="B39" s="12" t="inlineStr">
        <is>
          <t>Saco 1 kg</t>
        </is>
      </c>
      <c r="C39" s="13" t="n">
        <v>2.5</v>
      </c>
      <c r="D39" s="19" t="inlineStr">
        <is>
          <t>EST</t>
        </is>
      </c>
      <c r="E39" s="15" t="n">
        <v>1</v>
      </c>
      <c r="F39" s="16">
        <f>IFERROR(C39*E39,0)</f>
        <v>2.5</v>
      </c>
      <c r="G39" s="15" t="inlineStr">
        <is>
          <t>Ambiente</t>
        </is>
      </c>
      <c r="H39" s="12" t="inlineStr">
        <is>
          <t>12 meses</t>
        </is>
      </c>
      <c r="I39" s="15" t="inlineStr">
        <is>
          <t>0.3 kg</t>
        </is>
      </c>
      <c r="J39" s="17" t="inlineStr">
        <is>
          <t>OK</t>
        </is>
      </c>
      <c r="K39" s="18" t="inlineStr"/>
    </row>
    <row r="40">
      <c r="A40" s="11" t="inlineStr">
        <is>
          <t>Mandioca congelada</t>
        </is>
      </c>
      <c r="B40" s="12" t="inlineStr">
        <is>
          <t>Emb. 1 kg</t>
        </is>
      </c>
      <c r="C40" s="13" t="n">
        <v>3.5</v>
      </c>
      <c r="D40" s="19" t="inlineStr">
        <is>
          <t>EST</t>
        </is>
      </c>
      <c r="E40" s="15" t="n">
        <v>1</v>
      </c>
      <c r="F40" s="16">
        <f>IFERROR(C40*E40,0)</f>
        <v>3.5</v>
      </c>
      <c r="G40" s="15" t="inlineStr">
        <is>
          <t>Congelado</t>
        </is>
      </c>
      <c r="H40" s="12" t="inlineStr">
        <is>
          <t>12 meses</t>
        </is>
      </c>
      <c r="I40" s="15" t="inlineStr">
        <is>
          <t>0.3 kg</t>
        </is>
      </c>
      <c r="J40" s="17" t="inlineStr">
        <is>
          <t>OK</t>
        </is>
      </c>
      <c r="K40" s="18" t="inlineStr">
        <is>
          <t>Carne de Sol com Mandioca.</t>
        </is>
      </c>
    </row>
    <row r="41">
      <c r="A41" s="11" t="inlineStr">
        <is>
          <t>Batata para fritar</t>
        </is>
      </c>
      <c r="B41" s="12" t="inlineStr">
        <is>
          <t>Saco 10 kg</t>
        </is>
      </c>
      <c r="C41" s="13" t="n">
        <v>9</v>
      </c>
      <c r="D41" s="14" t="inlineStr">
        <is>
          <t>BD</t>
        </is>
      </c>
      <c r="E41" s="15" t="n">
        <v>1</v>
      </c>
      <c r="F41" s="16">
        <f>IFERROR(C41*E41,0)</f>
        <v>9</v>
      </c>
      <c r="G41" s="15" t="inlineStr">
        <is>
          <t>Ambiente</t>
        </is>
      </c>
      <c r="H41" s="12" t="inlineStr">
        <is>
          <t>21 dias</t>
        </is>
      </c>
      <c r="I41" s="15" t="inlineStr">
        <is>
          <t>3.5 kg</t>
        </is>
      </c>
      <c r="J41" s="17" t="inlineStr">
        <is>
          <t>OK</t>
        </is>
      </c>
      <c r="K41" s="18" t="inlineStr">
        <is>
          <t>Batatas c/ cheddar (2,2 doses) + Bitoque (8 doses). É o maior consumo de hortícola da carta.</t>
        </is>
      </c>
    </row>
    <row r="42">
      <c r="A42" s="11" t="inlineStr">
        <is>
          <t>Batata palha</t>
        </is>
      </c>
      <c r="B42" s="12" t="inlineStr">
        <is>
          <t>Emb. 1 kg</t>
        </is>
      </c>
      <c r="C42" s="13" t="n">
        <v>4.5</v>
      </c>
      <c r="D42" s="19" t="inlineStr">
        <is>
          <t>EST</t>
        </is>
      </c>
      <c r="E42" s="15" t="n">
        <v>1</v>
      </c>
      <c r="F42" s="16">
        <f>IFERROR(C42*E42,0)</f>
        <v>4.5</v>
      </c>
      <c r="G42" s="15" t="inlineStr">
        <is>
          <t>Ambiente</t>
        </is>
      </c>
      <c r="H42" s="12" t="inlineStr">
        <is>
          <t>6 meses</t>
        </is>
      </c>
      <c r="I42" s="15" t="inlineStr">
        <is>
          <t>0.1 kg</t>
        </is>
      </c>
      <c r="J42" s="17" t="inlineStr">
        <is>
          <t>OK</t>
        </is>
      </c>
      <c r="K42" s="18" t="inlineStr">
        <is>
          <t>Bacalhau à Brás.</t>
        </is>
      </c>
    </row>
    <row r="43">
      <c r="A43" s="11" t="inlineStr">
        <is>
          <t>Azeite virgem extra</t>
        </is>
      </c>
      <c r="B43" s="12" t="inlineStr">
        <is>
          <t>Garrafão 5 L</t>
        </is>
      </c>
      <c r="C43" s="13" t="n">
        <v>28</v>
      </c>
      <c r="D43" s="14" t="inlineStr">
        <is>
          <t>BD</t>
        </is>
      </c>
      <c r="E43" s="15" t="n">
        <v>1</v>
      </c>
      <c r="F43" s="16">
        <f>IFERROR(C43*E43,0)</f>
        <v>28</v>
      </c>
      <c r="G43" s="15" t="inlineStr">
        <is>
          <t>Ambiente</t>
        </is>
      </c>
      <c r="H43" s="12" t="inlineStr">
        <is>
          <t>18 meses</t>
        </is>
      </c>
      <c r="I43" s="15" t="inlineStr">
        <is>
          <t>0.5 L</t>
        </is>
      </c>
      <c r="J43" s="17" t="inlineStr">
        <is>
          <t>OK</t>
        </is>
      </c>
      <c r="K43" s="18" t="inlineStr"/>
    </row>
    <row r="44">
      <c r="A44" s="11" t="inlineStr">
        <is>
          <t>Óleo de fritura (girassol)</t>
        </is>
      </c>
      <c r="B44" s="12" t="inlineStr">
        <is>
          <t>Garrafão 10 L</t>
        </is>
      </c>
      <c r="C44" s="13" t="n">
        <v>16</v>
      </c>
      <c r="D44" s="19" t="inlineStr">
        <is>
          <t>EST</t>
        </is>
      </c>
      <c r="E44" s="15" t="n">
        <v>2</v>
      </c>
      <c r="F44" s="16">
        <f>IFERROR(C44*E44,0)</f>
        <v>32</v>
      </c>
      <c r="G44" s="15" t="inlineStr">
        <is>
          <t>Ambiente</t>
        </is>
      </c>
      <c r="H44" s="12" t="inlineStr">
        <is>
          <t>12 meses</t>
        </is>
      </c>
      <c r="I44" s="15" t="inlineStr">
        <is>
          <t>2 L</t>
        </is>
      </c>
      <c r="J44" s="17" t="inlineStr">
        <is>
          <t>OK</t>
        </is>
      </c>
      <c r="K44" s="18" t="inlineStr">
        <is>
          <t>Fritadeira: mudança semanal obrigatória por HACCP, mesmo a baixo volume. 2 garrafões de arranque.</t>
        </is>
      </c>
    </row>
    <row r="45">
      <c r="A45" s="11" t="inlineStr">
        <is>
          <t>Vinho branco de cozinha</t>
        </is>
      </c>
      <c r="B45" s="12" t="inlineStr">
        <is>
          <t>Garrafa 5 L</t>
        </is>
      </c>
      <c r="C45" s="13" t="n">
        <v>7</v>
      </c>
      <c r="D45" s="19" t="inlineStr">
        <is>
          <t>EST</t>
        </is>
      </c>
      <c r="E45" s="15" t="n">
        <v>1</v>
      </c>
      <c r="F45" s="16">
        <f>IFERROR(C45*E45,0)</f>
        <v>7</v>
      </c>
      <c r="G45" s="15" t="inlineStr">
        <is>
          <t>Ambiente</t>
        </is>
      </c>
      <c r="H45" s="12" t="inlineStr">
        <is>
          <t>12 meses</t>
        </is>
      </c>
      <c r="I45" s="15" t="inlineStr">
        <is>
          <t>0.5 L</t>
        </is>
      </c>
      <c r="J45" s="17" t="inlineStr">
        <is>
          <t>OK</t>
        </is>
      </c>
      <c r="K45" s="18" t="inlineStr">
        <is>
          <t>Moelas e Pica-Pau.</t>
        </is>
      </c>
    </row>
    <row r="46">
      <c r="A46" s="11" t="inlineStr">
        <is>
          <t>Tomate pelado</t>
        </is>
      </c>
      <c r="B46" s="12" t="inlineStr">
        <is>
          <t>Lata 3 kg</t>
        </is>
      </c>
      <c r="C46" s="13" t="n">
        <v>4.5</v>
      </c>
      <c r="D46" s="19" t="inlineStr">
        <is>
          <t>EST</t>
        </is>
      </c>
      <c r="E46" s="15" t="n">
        <v>1</v>
      </c>
      <c r="F46" s="16">
        <f>IFERROR(C46*E46,0)</f>
        <v>4.5</v>
      </c>
      <c r="G46" s="15" t="inlineStr">
        <is>
          <t>Ambiente</t>
        </is>
      </c>
      <c r="H46" s="12" t="inlineStr">
        <is>
          <t>24 meses</t>
        </is>
      </c>
      <c r="I46" s="15" t="inlineStr">
        <is>
          <t>0.3 kg</t>
        </is>
      </c>
      <c r="J46" s="17" t="inlineStr">
        <is>
          <t>OK</t>
        </is>
      </c>
      <c r="K46" s="18" t="inlineStr">
        <is>
          <t>Moelas.</t>
        </is>
      </c>
    </row>
    <row r="47">
      <c r="A47" s="11" t="inlineStr">
        <is>
          <t>Mostarda</t>
        </is>
      </c>
      <c r="B47" s="12" t="inlineStr">
        <is>
          <t>Balde 1 kg</t>
        </is>
      </c>
      <c r="C47" s="13" t="n">
        <v>3.5</v>
      </c>
      <c r="D47" s="19" t="inlineStr">
        <is>
          <t>EST</t>
        </is>
      </c>
      <c r="E47" s="15" t="n">
        <v>1</v>
      </c>
      <c r="F47" s="16">
        <f>IFERROR(C47*E47,0)</f>
        <v>3.5</v>
      </c>
      <c r="G47" s="15" t="inlineStr">
        <is>
          <t>Refrigerado</t>
        </is>
      </c>
      <c r="H47" s="12" t="inlineStr">
        <is>
          <t>6 meses (aberto)</t>
        </is>
      </c>
      <c r="I47" s="15" t="inlineStr">
        <is>
          <t>0.08 kg</t>
        </is>
      </c>
      <c r="J47" s="17" t="inlineStr">
        <is>
          <t>OK</t>
        </is>
      </c>
      <c r="K47" s="18" t="inlineStr">
        <is>
          <t>Pica-Pau e molho do Bitoque.</t>
        </is>
      </c>
    </row>
    <row r="48">
      <c r="A48" s="11" t="inlineStr">
        <is>
          <t>Pepino de conserva</t>
        </is>
      </c>
      <c r="B48" s="12" t="inlineStr">
        <is>
          <t>Frasco 2,5 kg</t>
        </is>
      </c>
      <c r="C48" s="13" t="n">
        <v>6</v>
      </c>
      <c r="D48" s="19" t="inlineStr">
        <is>
          <t>EST</t>
        </is>
      </c>
      <c r="E48" s="15" t="n">
        <v>1</v>
      </c>
      <c r="F48" s="16">
        <f>IFERROR(C48*E48,0)</f>
        <v>6</v>
      </c>
      <c r="G48" s="15" t="inlineStr">
        <is>
          <t>Ambiente</t>
        </is>
      </c>
      <c r="H48" s="12" t="inlineStr">
        <is>
          <t>24 meses</t>
        </is>
      </c>
      <c r="I48" s="15" t="inlineStr">
        <is>
          <t>0.15 kg</t>
        </is>
      </c>
      <c r="J48" s="17" t="inlineStr">
        <is>
          <t>OK</t>
        </is>
      </c>
      <c r="K48" s="18" t="inlineStr">
        <is>
          <t>Pica-Pau.</t>
        </is>
      </c>
    </row>
    <row r="49">
      <c r="A49" s="11" t="inlineStr">
        <is>
          <t>Manteiga de garrafa</t>
        </is>
      </c>
      <c r="B49" s="12" t="inlineStr">
        <is>
          <t>Frasco 500 ml</t>
        </is>
      </c>
      <c r="C49" s="13" t="n">
        <v>6.5</v>
      </c>
      <c r="D49" s="19" t="inlineStr">
        <is>
          <t>EST</t>
        </is>
      </c>
      <c r="E49" s="15" t="n">
        <v>1</v>
      </c>
      <c r="F49" s="16">
        <f>IFERROR(C49*E49,0)</f>
        <v>6.5</v>
      </c>
      <c r="G49" s="15" t="inlineStr">
        <is>
          <t>Ambiente</t>
        </is>
      </c>
      <c r="H49" s="12" t="inlineStr">
        <is>
          <t>12 meses</t>
        </is>
      </c>
      <c r="I49" s="15" t="inlineStr">
        <is>
          <t>0.05 L</t>
        </is>
      </c>
      <c r="J49" s="17" t="inlineStr">
        <is>
          <t>OK</t>
        </is>
      </c>
      <c r="K49" s="18" t="inlineStr">
        <is>
          <t>Carne de Sol. Produto brasileiro — confirmar disponibilidade.</t>
        </is>
      </c>
    </row>
    <row r="50">
      <c r="A50" s="11" t="inlineStr">
        <is>
          <t>Manteiga</t>
        </is>
      </c>
      <c r="B50" s="12" t="inlineStr">
        <is>
          <t>Emb. 2,5 kg</t>
        </is>
      </c>
      <c r="C50" s="13" t="n">
        <v>18</v>
      </c>
      <c r="D50" s="14" t="inlineStr">
        <is>
          <t>BD</t>
        </is>
      </c>
      <c r="E50" s="15" t="n">
        <v>1</v>
      </c>
      <c r="F50" s="16">
        <f>IFERROR(C50*E50,0)</f>
        <v>18</v>
      </c>
      <c r="G50" s="15" t="inlineStr">
        <is>
          <t>Refrigerado</t>
        </is>
      </c>
      <c r="H50" s="12" t="inlineStr">
        <is>
          <t>60 dias</t>
        </is>
      </c>
      <c r="I50" s="15" t="inlineStr">
        <is>
          <t>0.3 kg</t>
        </is>
      </c>
      <c r="J50" s="17" t="inlineStr">
        <is>
          <t>OK</t>
        </is>
      </c>
      <c r="K50" s="18" t="inlineStr"/>
    </row>
    <row r="51">
      <c r="A51" s="11" t="inlineStr">
        <is>
          <t>Colorau</t>
        </is>
      </c>
      <c r="B51" s="12" t="inlineStr">
        <is>
          <t>Emb. 1 kg</t>
        </is>
      </c>
      <c r="C51" s="13" t="n">
        <v>6</v>
      </c>
      <c r="D51" s="19" t="inlineStr">
        <is>
          <t>EST</t>
        </is>
      </c>
      <c r="E51" s="15" t="n">
        <v>1</v>
      </c>
      <c r="F51" s="16">
        <f>IFERROR(C51*E51,0)</f>
        <v>6</v>
      </c>
      <c r="G51" s="15" t="inlineStr">
        <is>
          <t>Ambiente</t>
        </is>
      </c>
      <c r="H51" s="12" t="inlineStr">
        <is>
          <t>24 meses</t>
        </is>
      </c>
      <c r="I51" s="15" t="inlineStr">
        <is>
          <t>0.03 kg</t>
        </is>
      </c>
      <c r="J51" s="17" t="inlineStr">
        <is>
          <t>OK</t>
        </is>
      </c>
      <c r="K51" s="18" t="inlineStr"/>
    </row>
    <row r="52">
      <c r="A52" s="11" t="inlineStr">
        <is>
          <t>Louro, alho em pó, pimenta preta, sal</t>
        </is>
      </c>
      <c r="B52" s="12" t="inlineStr">
        <is>
          <t>Conjunto</t>
        </is>
      </c>
      <c r="C52" s="13" t="n">
        <v>18</v>
      </c>
      <c r="D52" s="19" t="inlineStr">
        <is>
          <t>EST</t>
        </is>
      </c>
      <c r="E52" s="15" t="n">
        <v>1</v>
      </c>
      <c r="F52" s="16">
        <f>IFERROR(C52*E52,0)</f>
        <v>18</v>
      </c>
      <c r="G52" s="15" t="inlineStr">
        <is>
          <t>Ambiente</t>
        </is>
      </c>
      <c r="H52" s="12" t="inlineStr">
        <is>
          <t>24 meses</t>
        </is>
      </c>
      <c r="I52" s="15" t="inlineStr">
        <is>
          <t>—</t>
        </is>
      </c>
      <c r="J52" s="15" t="inlineStr">
        <is>
          <t>—</t>
        </is>
      </c>
      <c r="K52" s="18" t="inlineStr">
        <is>
          <t>Especiaria base. Compra única, dura meses.</t>
        </is>
      </c>
    </row>
    <row r="53">
      <c r="A53" s="11" t="inlineStr">
        <is>
          <t>Alho fresco</t>
        </is>
      </c>
      <c r="B53" s="12" t="inlineStr">
        <is>
          <t>kg</t>
        </is>
      </c>
      <c r="C53" s="13" t="n">
        <v>3.5</v>
      </c>
      <c r="D53" s="19" t="inlineStr">
        <is>
          <t>EST</t>
        </is>
      </c>
      <c r="E53" s="15" t="n">
        <v>1</v>
      </c>
      <c r="F53" s="16">
        <f>IFERROR(C53*E53,0)</f>
        <v>3.5</v>
      </c>
      <c r="G53" s="15" t="inlineStr">
        <is>
          <t>Ambiente</t>
        </is>
      </c>
      <c r="H53" s="12" t="inlineStr">
        <is>
          <t>30 dias</t>
        </is>
      </c>
      <c r="I53" s="15" t="inlineStr">
        <is>
          <t>0.2 kg</t>
        </is>
      </c>
      <c r="J53" s="22" t="inlineStr">
        <is>
          <t>MÉDIO</t>
        </is>
      </c>
      <c r="K53" s="18" t="inlineStr"/>
    </row>
    <row r="54">
      <c r="A54" s="11" t="inlineStr">
        <is>
          <t>Pimenta dedo-de-moça</t>
        </is>
      </c>
      <c r="B54" s="12" t="inlineStr">
        <is>
          <t>Frasco 500 g</t>
        </is>
      </c>
      <c r="C54" s="13" t="n">
        <v>5.5</v>
      </c>
      <c r="D54" s="19" t="inlineStr">
        <is>
          <t>EST</t>
        </is>
      </c>
      <c r="E54" s="15" t="n">
        <v>1</v>
      </c>
      <c r="F54" s="16">
        <f>IFERROR(C54*E54,0)</f>
        <v>5.5</v>
      </c>
      <c r="G54" s="15" t="inlineStr">
        <is>
          <t>Refrigerado</t>
        </is>
      </c>
      <c r="H54" s="12" t="inlineStr">
        <is>
          <t>12 meses</t>
        </is>
      </c>
      <c r="I54" s="15" t="inlineStr">
        <is>
          <t>0.05 kg</t>
        </is>
      </c>
      <c r="J54" s="17" t="inlineStr">
        <is>
          <t>OK</t>
        </is>
      </c>
      <c r="K54" s="18" t="inlineStr">
        <is>
          <t>Porco à Moda do Chef.</t>
        </is>
      </c>
    </row>
    <row r="55">
      <c r="A55" s="11" t="inlineStr">
        <is>
          <t>Noz-moscada</t>
        </is>
      </c>
      <c r="B55" s="12" t="inlineStr">
        <is>
          <t>Emb. 250 g</t>
        </is>
      </c>
      <c r="C55" s="13" t="n">
        <v>4.5</v>
      </c>
      <c r="D55" s="19" t="inlineStr">
        <is>
          <t>EST</t>
        </is>
      </c>
      <c r="E55" s="15" t="n">
        <v>1</v>
      </c>
      <c r="F55" s="16">
        <f>IFERROR(C55*E55,0)</f>
        <v>4.5</v>
      </c>
      <c r="G55" s="15" t="inlineStr">
        <is>
          <t>Ambiente</t>
        </is>
      </c>
      <c r="H55" s="12" t="inlineStr">
        <is>
          <t>24 meses</t>
        </is>
      </c>
      <c r="I55" s="15" t="inlineStr">
        <is>
          <t>0.01 kg</t>
        </is>
      </c>
      <c r="J55" s="17" t="inlineStr">
        <is>
          <t>OK</t>
        </is>
      </c>
      <c r="K55" s="18" t="inlineStr"/>
    </row>
    <row r="56">
      <c r="A56" s="11" t="inlineStr">
        <is>
          <t>Açúcar</t>
        </is>
      </c>
      <c r="B56" s="12" t="inlineStr">
        <is>
          <t>Saco 5 kg</t>
        </is>
      </c>
      <c r="C56" s="13" t="n">
        <v>4.75</v>
      </c>
      <c r="D56" s="14" t="inlineStr">
        <is>
          <t>BD</t>
        </is>
      </c>
      <c r="E56" s="15" t="n">
        <v>1</v>
      </c>
      <c r="F56" s="16">
        <f>IFERROR(C56*E56,0)</f>
        <v>4.75</v>
      </c>
      <c r="G56" s="15" t="inlineStr">
        <is>
          <t>Ambiente</t>
        </is>
      </c>
      <c r="H56" s="12" t="inlineStr">
        <is>
          <t>24 meses</t>
        </is>
      </c>
      <c r="I56" s="15" t="inlineStr">
        <is>
          <t>0.5 kg</t>
        </is>
      </c>
      <c r="J56" s="17" t="inlineStr">
        <is>
          <t>OK</t>
        </is>
      </c>
      <c r="K56" s="18" t="inlineStr"/>
    </row>
    <row r="57">
      <c r="A57" s="11" t="inlineStr">
        <is>
          <t>Farinha de trigo</t>
        </is>
      </c>
      <c r="B57" s="12" t="inlineStr">
        <is>
          <t>Saco 5 kg</t>
        </is>
      </c>
      <c r="C57" s="13" t="n">
        <v>4.5</v>
      </c>
      <c r="D57" s="19" t="inlineStr">
        <is>
          <t>EST</t>
        </is>
      </c>
      <c r="E57" s="15" t="n">
        <v>1</v>
      </c>
      <c r="F57" s="16">
        <f>IFERROR(C57*E57,0)</f>
        <v>4.5</v>
      </c>
      <c r="G57" s="15" t="inlineStr">
        <is>
          <t>Ambiente</t>
        </is>
      </c>
      <c r="H57" s="12" t="inlineStr">
        <is>
          <t>12 meses</t>
        </is>
      </c>
      <c r="I57" s="15" t="inlineStr">
        <is>
          <t>0.4 kg</t>
        </is>
      </c>
      <c r="J57" s="17" t="inlineStr">
        <is>
          <t>OK</t>
        </is>
      </c>
      <c r="K57" s="18" t="inlineStr">
        <is>
          <t>Frango à Passarinho (se voltar) e panados.</t>
        </is>
      </c>
    </row>
    <row r="58">
      <c r="A58" s="3" t="inlineStr">
        <is>
          <t>Frescos hortofrutícolas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11" t="inlineStr">
        <is>
          <t>Cebola</t>
        </is>
      </c>
      <c r="B59" s="12" t="inlineStr">
        <is>
          <t>Saco 5 kg</t>
        </is>
      </c>
      <c r="C59" s="13" t="n">
        <v>4.5</v>
      </c>
      <c r="D59" s="14" t="inlineStr">
        <is>
          <t>BD</t>
        </is>
      </c>
      <c r="E59" s="15" t="n">
        <v>1</v>
      </c>
      <c r="F59" s="16">
        <f>IFERROR(C59*E59,0)</f>
        <v>4.5</v>
      </c>
      <c r="G59" s="15" t="inlineStr">
        <is>
          <t>Ambiente</t>
        </is>
      </c>
      <c r="H59" s="12" t="inlineStr">
        <is>
          <t>30 dias</t>
        </is>
      </c>
      <c r="I59" s="15" t="inlineStr">
        <is>
          <t>1.5 kg</t>
        </is>
      </c>
      <c r="J59" s="17" t="inlineStr">
        <is>
          <t>OK</t>
        </is>
      </c>
      <c r="K59" s="18" t="inlineStr"/>
    </row>
    <row r="60">
      <c r="A60" s="11" t="inlineStr">
        <is>
          <t>Laranja para sumo</t>
        </is>
      </c>
      <c r="B60" s="12" t="inlineStr">
        <is>
          <t>Saco 10 kg</t>
        </is>
      </c>
      <c r="C60" s="13" t="n">
        <v>9</v>
      </c>
      <c r="D60" s="14" t="inlineStr">
        <is>
          <t>BD</t>
        </is>
      </c>
      <c r="E60" s="15" t="n">
        <v>1</v>
      </c>
      <c r="F60" s="16">
        <f>IFERROR(C60*E60,0)</f>
        <v>9</v>
      </c>
      <c r="G60" s="15" t="inlineStr">
        <is>
          <t>Fresco</t>
        </is>
      </c>
      <c r="H60" s="12" t="inlineStr">
        <is>
          <t>14 dias</t>
        </is>
      </c>
      <c r="I60" s="15" t="inlineStr">
        <is>
          <t>3.2 kg</t>
        </is>
      </c>
      <c r="J60" s="17" t="inlineStr">
        <is>
          <t>OK</t>
        </is>
      </c>
      <c r="K60" s="18" t="inlineStr">
        <is>
          <t>9 sumos/semana × 3 laranjas. É o fresco de maior rotação da carta.</t>
        </is>
      </c>
    </row>
    <row r="61">
      <c r="A61" s="11" t="inlineStr">
        <is>
          <t>Ananás/abacaxi</t>
        </is>
      </c>
      <c r="B61" s="12" t="inlineStr">
        <is>
          <t>un</t>
        </is>
      </c>
      <c r="C61" s="13" t="n">
        <v>2.2</v>
      </c>
      <c r="D61" s="14" t="inlineStr">
        <is>
          <t>BD</t>
        </is>
      </c>
      <c r="E61" s="15" t="n">
        <v>2</v>
      </c>
      <c r="F61" s="16">
        <f>IFERROR(C61*E61,0)</f>
        <v>4.4</v>
      </c>
      <c r="G61" s="15" t="inlineStr">
        <is>
          <t>Fresco</t>
        </is>
      </c>
      <c r="H61" s="12" t="inlineStr">
        <is>
          <t>7 dias</t>
        </is>
      </c>
      <c r="I61" s="15" t="inlineStr">
        <is>
          <t>1.1 un</t>
        </is>
      </c>
      <c r="J61" s="17" t="inlineStr">
        <is>
          <t>OK</t>
        </is>
      </c>
      <c r="K61" s="18" t="inlineStr"/>
    </row>
    <row r="62">
      <c r="A62" s="11" t="inlineStr">
        <is>
          <t>Fruta variada da época</t>
        </is>
      </c>
      <c r="B62" s="12" t="inlineStr">
        <is>
          <t>kg</t>
        </is>
      </c>
      <c r="C62" s="13" t="n">
        <v>2.2</v>
      </c>
      <c r="D62" s="14" t="inlineStr">
        <is>
          <t>BD</t>
        </is>
      </c>
      <c r="E62" s="15" t="n">
        <v>2</v>
      </c>
      <c r="F62" s="16">
        <f>IFERROR(C62*E62,0)</f>
        <v>4.4</v>
      </c>
      <c r="G62" s="15" t="inlineStr">
        <is>
          <t>Fresco</t>
        </is>
      </c>
      <c r="H62" s="12" t="inlineStr">
        <is>
          <t>5 dias</t>
        </is>
      </c>
      <c r="I62" s="15" t="inlineStr">
        <is>
          <t>1.4 kg</t>
        </is>
      </c>
      <c r="J62" s="17" t="inlineStr">
        <is>
          <t>OK</t>
        </is>
      </c>
      <c r="K62" s="18" t="inlineStr"/>
    </row>
    <row r="63">
      <c r="A63" s="11" t="inlineStr">
        <is>
          <t>Limão</t>
        </is>
      </c>
      <c r="B63" s="12" t="inlineStr">
        <is>
          <t>kg</t>
        </is>
      </c>
      <c r="C63" s="13" t="n">
        <v>2</v>
      </c>
      <c r="D63" s="19" t="inlineStr">
        <is>
          <t>EST</t>
        </is>
      </c>
      <c r="E63" s="15" t="n">
        <v>1</v>
      </c>
      <c r="F63" s="16">
        <f>IFERROR(C63*E63,0)</f>
        <v>2</v>
      </c>
      <c r="G63" s="15" t="inlineStr">
        <is>
          <t>Fresco</t>
        </is>
      </c>
      <c r="H63" s="12" t="inlineStr">
        <is>
          <t>14 dias</t>
        </is>
      </c>
      <c r="I63" s="15" t="inlineStr">
        <is>
          <t>0.5 kg</t>
        </is>
      </c>
      <c r="J63" s="17" t="inlineStr">
        <is>
          <t>OK</t>
        </is>
      </c>
      <c r="K63" s="18" t="inlineStr"/>
    </row>
    <row r="64">
      <c r="A64" s="11" t="inlineStr">
        <is>
          <t>Coentros</t>
        </is>
      </c>
      <c r="B64" s="12" t="inlineStr">
        <is>
          <t>Molho</t>
        </is>
      </c>
      <c r="C64" s="13" t="n">
        <v>0.8</v>
      </c>
      <c r="D64" s="19" t="inlineStr">
        <is>
          <t>EST</t>
        </is>
      </c>
      <c r="E64" s="15" t="n">
        <v>3</v>
      </c>
      <c r="F64" s="16">
        <f>IFERROR(C64*E64,0)</f>
        <v>2.4</v>
      </c>
      <c r="G64" s="15" t="inlineStr">
        <is>
          <t>Fresco</t>
        </is>
      </c>
      <c r="H64" s="12" t="inlineStr">
        <is>
          <t>4 dias</t>
        </is>
      </c>
      <c r="I64" s="15" t="inlineStr">
        <is>
          <t>3 molho</t>
        </is>
      </c>
      <c r="J64" s="17" t="inlineStr">
        <is>
          <t>OK</t>
        </is>
      </c>
      <c r="K64" s="18" t="inlineStr"/>
    </row>
    <row r="65">
      <c r="A65" s="11" t="inlineStr">
        <is>
          <t>Hortelã</t>
        </is>
      </c>
      <c r="B65" s="12" t="inlineStr">
        <is>
          <t>Molho</t>
        </is>
      </c>
      <c r="C65" s="13" t="n">
        <v>0.8</v>
      </c>
      <c r="D65" s="19" t="inlineStr">
        <is>
          <t>EST</t>
        </is>
      </c>
      <c r="E65" s="15" t="n">
        <v>2</v>
      </c>
      <c r="F65" s="16">
        <f>IFERROR(C65*E65,0)</f>
        <v>1.6</v>
      </c>
      <c r="G65" s="15" t="inlineStr">
        <is>
          <t>Fresco</t>
        </is>
      </c>
      <c r="H65" s="12" t="inlineStr">
        <is>
          <t>4 dias</t>
        </is>
      </c>
      <c r="I65" s="15" t="inlineStr">
        <is>
          <t>1 molho</t>
        </is>
      </c>
      <c r="J65" s="20" t="inlineStr">
        <is>
          <t>ALTO</t>
        </is>
      </c>
      <c r="K65" s="18" t="inlineStr"/>
    </row>
    <row r="66">
      <c r="A66" s="11" t="inlineStr">
        <is>
          <t>Alface / mistura de salada</t>
        </is>
      </c>
      <c r="B66" s="12" t="inlineStr">
        <is>
          <t>Saco 1 kg</t>
        </is>
      </c>
      <c r="C66" s="13" t="n">
        <v>3.5</v>
      </c>
      <c r="D66" s="19" t="inlineStr">
        <is>
          <t>EST</t>
        </is>
      </c>
      <c r="E66" s="15" t="n">
        <v>1</v>
      </c>
      <c r="F66" s="16">
        <f>IFERROR(C66*E66,0)</f>
        <v>3.5</v>
      </c>
      <c r="G66" s="15" t="inlineStr">
        <is>
          <t>Fresco</t>
        </is>
      </c>
      <c r="H66" s="12" t="inlineStr">
        <is>
          <t>4 dias</t>
        </is>
      </c>
      <c r="I66" s="15" t="inlineStr">
        <is>
          <t>1 kg</t>
        </is>
      </c>
      <c r="J66" s="20" t="inlineStr">
        <is>
          <t>ALTO</t>
        </is>
      </c>
      <c r="K66" s="18" t="inlineStr">
        <is>
          <t>Base fixa dos PF (a confirmar).</t>
        </is>
      </c>
    </row>
    <row r="67">
      <c r="A67" s="11" t="inlineStr">
        <is>
          <t>Tomate fresco</t>
        </is>
      </c>
      <c r="B67" s="12" t="inlineStr">
        <is>
          <t>kg</t>
        </is>
      </c>
      <c r="C67" s="13" t="n">
        <v>2.2</v>
      </c>
      <c r="D67" s="19" t="inlineStr">
        <is>
          <t>EST</t>
        </is>
      </c>
      <c r="E67" s="15" t="n">
        <v>1</v>
      </c>
      <c r="F67" s="16">
        <f>IFERROR(C67*E67,0)</f>
        <v>2.2</v>
      </c>
      <c r="G67" s="15" t="inlineStr">
        <is>
          <t>Fresco</t>
        </is>
      </c>
      <c r="H67" s="12" t="inlineStr">
        <is>
          <t>5 dias</t>
        </is>
      </c>
      <c r="I67" s="15" t="inlineStr">
        <is>
          <t>1 kg</t>
        </is>
      </c>
      <c r="J67" s="22" t="inlineStr">
        <is>
          <t>MÉDIO</t>
        </is>
      </c>
      <c r="K67" s="18" t="inlineStr"/>
    </row>
    <row r="68">
      <c r="A68" s="3" t="inlineStr">
        <is>
          <t>Padaria, ovos e lacticínios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11" t="inlineStr">
        <is>
          <t>Pão de forma</t>
        </is>
      </c>
      <c r="B69" s="12" t="inlineStr">
        <is>
          <t>Emb. 20 fatias</t>
        </is>
      </c>
      <c r="C69" s="13" t="n">
        <v>1.6</v>
      </c>
      <c r="D69" s="14" t="inlineStr">
        <is>
          <t>BD</t>
        </is>
      </c>
      <c r="E69" s="15" t="n">
        <v>1</v>
      </c>
      <c r="F69" s="16">
        <f>IFERROR(C69*E69,0)</f>
        <v>1.6</v>
      </c>
      <c r="G69" s="15" t="inlineStr">
        <is>
          <t>Ambiente</t>
        </is>
      </c>
      <c r="H69" s="12" t="inlineStr">
        <is>
          <t>7 dias</t>
        </is>
      </c>
      <c r="I69" s="15" t="inlineStr">
        <is>
          <t>8.6 fatia</t>
        </is>
      </c>
      <c r="J69" s="20" t="inlineStr">
        <is>
          <t>ALTO</t>
        </is>
      </c>
      <c r="K69" s="18" t="inlineStr">
        <is>
          <t>4,3 tostas/semana × 2 fatias.</t>
        </is>
      </c>
    </row>
    <row r="70">
      <c r="A70" s="11" t="inlineStr">
        <is>
          <t>Broa de milho</t>
        </is>
      </c>
      <c r="B70" s="12" t="inlineStr">
        <is>
          <t>Unidade</t>
        </is>
      </c>
      <c r="C70" s="13" t="n">
        <v>2.2</v>
      </c>
      <c r="D70" s="14" t="inlineStr">
        <is>
          <t>BD</t>
        </is>
      </c>
      <c r="E70" s="15" t="n">
        <v>1</v>
      </c>
      <c r="F70" s="16">
        <f>IFERROR(C70*E70,0)</f>
        <v>2.2</v>
      </c>
      <c r="G70" s="15" t="inlineStr">
        <is>
          <t>Ambiente</t>
        </is>
      </c>
      <c r="H70" s="12" t="inlineStr">
        <is>
          <t>5 dias</t>
        </is>
      </c>
      <c r="I70" s="15" t="inlineStr">
        <is>
          <t>3.6 fatia</t>
        </is>
      </c>
      <c r="J70" s="21" t="inlineStr">
        <is>
          <t>CRÍTICO</t>
        </is>
      </c>
      <c r="K70" s="18" t="inlineStr"/>
    </row>
    <row r="71">
      <c r="A71" s="11" t="inlineStr">
        <is>
          <t>Croissants congelados</t>
        </is>
      </c>
      <c r="B71" s="12" t="inlineStr">
        <is>
          <t>Caixa 60 un</t>
        </is>
      </c>
      <c r="C71" s="13" t="n">
        <v>18</v>
      </c>
      <c r="D71" s="14" t="inlineStr">
        <is>
          <t>BD</t>
        </is>
      </c>
      <c r="E71" s="15" t="n">
        <v>1</v>
      </c>
      <c r="F71" s="16">
        <f>IFERROR(C71*E71,0)</f>
        <v>18</v>
      </c>
      <c r="G71" s="15" t="inlineStr">
        <is>
          <t>Congelado</t>
        </is>
      </c>
      <c r="H71" s="12" t="inlineStr">
        <is>
          <t>12 meses</t>
        </is>
      </c>
      <c r="I71" s="15" t="inlineStr">
        <is>
          <t>3.6 un</t>
        </is>
      </c>
      <c r="J71" s="17" t="inlineStr">
        <is>
          <t>OK</t>
        </is>
      </c>
      <c r="K71" s="18" t="inlineStr">
        <is>
          <t>Congelado é o único formato que faz sentido a 3,6 un/semana. Coze-se o que é preciso.</t>
        </is>
      </c>
    </row>
    <row r="72">
      <c r="A72" s="11" t="inlineStr">
        <is>
          <t>Pão para Pica-Pau / acompanhamento</t>
        </is>
      </c>
      <c r="B72" s="12" t="inlineStr">
        <is>
          <t>Unidade</t>
        </is>
      </c>
      <c r="C72" s="13" t="n">
        <v>0.6</v>
      </c>
      <c r="D72" s="19" t="inlineStr">
        <is>
          <t>EST</t>
        </is>
      </c>
      <c r="E72" s="15" t="n">
        <v>6</v>
      </c>
      <c r="F72" s="16">
        <f>IFERROR(C72*E72,0)</f>
        <v>3.6</v>
      </c>
      <c r="G72" s="15" t="inlineStr">
        <is>
          <t>Ambiente</t>
        </is>
      </c>
      <c r="H72" s="12" t="inlineStr">
        <is>
          <t>2 dias</t>
        </is>
      </c>
      <c r="I72" s="15" t="inlineStr">
        <is>
          <t>6 un</t>
        </is>
      </c>
      <c r="J72" s="17" t="inlineStr">
        <is>
          <t>OK</t>
        </is>
      </c>
      <c r="K72" s="18" t="inlineStr"/>
    </row>
    <row r="73">
      <c r="A73" s="11" t="inlineStr">
        <is>
          <t>Ovos</t>
        </is>
      </c>
      <c r="B73" s="12" t="inlineStr">
        <is>
          <t>Caixa 30 un</t>
        </is>
      </c>
      <c r="C73" s="13" t="n">
        <v>6.6</v>
      </c>
      <c r="D73" s="14" t="inlineStr">
        <is>
          <t>BD</t>
        </is>
      </c>
      <c r="E73" s="15" t="n">
        <v>1</v>
      </c>
      <c r="F73" s="16">
        <f>IFERROR(C73*E73,0)</f>
        <v>6.6</v>
      </c>
      <c r="G73" s="15" t="inlineStr">
        <is>
          <t>Refrigerado</t>
        </is>
      </c>
      <c r="H73" s="12" t="inlineStr">
        <is>
          <t>21 dias</t>
        </is>
      </c>
      <c r="I73" s="15" t="inlineStr">
        <is>
          <t>22 un</t>
        </is>
      </c>
      <c r="J73" s="17" t="inlineStr">
        <is>
          <t>OK</t>
        </is>
      </c>
      <c r="K73" s="18" t="inlineStr">
        <is>
          <t>Bitoque (8), Ovos Mexidos (3,6), Bacalhau à Brás (2,2) e panados.</t>
        </is>
      </c>
    </row>
    <row r="74">
      <c r="A74" s="11" t="inlineStr">
        <is>
          <t>Leite UHT</t>
        </is>
      </c>
      <c r="B74" s="12" t="inlineStr">
        <is>
          <t>Pack 6×1 L</t>
        </is>
      </c>
      <c r="C74" s="13" t="n">
        <v>4.8</v>
      </c>
      <c r="D74" s="14" t="inlineStr">
        <is>
          <t>BD</t>
        </is>
      </c>
      <c r="E74" s="15" t="n">
        <v>1</v>
      </c>
      <c r="F74" s="16">
        <f>IFERROR(C74*E74,0)</f>
        <v>4.8</v>
      </c>
      <c r="G74" s="15" t="inlineStr">
        <is>
          <t>Ambiente</t>
        </is>
      </c>
      <c r="H74" s="12" t="inlineStr">
        <is>
          <t>6 meses</t>
        </is>
      </c>
      <c r="I74" s="15" t="inlineStr">
        <is>
          <t>3 L</t>
        </is>
      </c>
      <c r="J74" s="17" t="inlineStr">
        <is>
          <t>OK</t>
        </is>
      </c>
      <c r="K74" s="18" t="inlineStr"/>
    </row>
    <row r="75">
      <c r="A75" s="11" t="inlineStr">
        <is>
          <t>Queijo fresco</t>
        </is>
      </c>
      <c r="B75" s="12" t="inlineStr">
        <is>
          <t>Emb. 6 un</t>
        </is>
      </c>
      <c r="C75" s="13" t="n">
        <v>3</v>
      </c>
      <c r="D75" s="19" t="inlineStr">
        <is>
          <t>EST</t>
        </is>
      </c>
      <c r="E75" s="15" t="n">
        <v>1</v>
      </c>
      <c r="F75" s="16">
        <f>IFERROR(C75*E75,0)</f>
        <v>3</v>
      </c>
      <c r="G75" s="15" t="inlineStr">
        <is>
          <t>Refrigerado</t>
        </is>
      </c>
      <c r="H75" s="12" t="inlineStr">
        <is>
          <t>10 dias</t>
        </is>
      </c>
      <c r="I75" s="15" t="inlineStr">
        <is>
          <t>1.8 un</t>
        </is>
      </c>
      <c r="J75" s="20" t="inlineStr">
        <is>
          <t>ALTO</t>
        </is>
      </c>
      <c r="K75" s="18" t="inlineStr">
        <is>
          <t>Torrada de Broa.</t>
        </is>
      </c>
    </row>
    <row r="76">
      <c r="A76" s="11" t="inlineStr">
        <is>
          <t>Natas</t>
        </is>
      </c>
      <c r="B76" s="12" t="inlineStr">
        <is>
          <t>Pack 6×200 ml</t>
        </is>
      </c>
      <c r="C76" s="13" t="n">
        <v>5.4</v>
      </c>
      <c r="D76" s="19" t="inlineStr">
        <is>
          <t>EST</t>
        </is>
      </c>
      <c r="E76" s="15" t="n">
        <v>1</v>
      </c>
      <c r="F76" s="16">
        <f>IFERROR(C76*E76,0)</f>
        <v>5.4</v>
      </c>
      <c r="G76" s="15" t="inlineStr">
        <is>
          <t>Ambiente</t>
        </is>
      </c>
      <c r="H76" s="12" t="inlineStr">
        <is>
          <t>6 meses</t>
        </is>
      </c>
      <c r="I76" s="15" t="inlineStr">
        <is>
          <t>0.4 L</t>
        </is>
      </c>
      <c r="J76" s="17" t="inlineStr">
        <is>
          <t>OK</t>
        </is>
      </c>
      <c r="K76" s="18" t="inlineStr"/>
    </row>
    <row r="77">
      <c r="A77" s="3" t="inlineStr">
        <is>
          <t>Café e bebidas quentes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11" t="inlineStr">
        <is>
          <t>Café em grão</t>
        </is>
      </c>
      <c r="B78" s="12" t="inlineStr">
        <is>
          <t>Saco 1 kg</t>
        </is>
      </c>
      <c r="C78" s="13" t="n">
        <v>18</v>
      </c>
      <c r="D78" s="14" t="inlineStr">
        <is>
          <t>BD</t>
        </is>
      </c>
      <c r="E78" s="15" t="n">
        <v>1</v>
      </c>
      <c r="F78" s="16">
        <f>IFERROR(C78*E78,0)</f>
        <v>18</v>
      </c>
      <c r="G78" s="15" t="inlineStr">
        <is>
          <t>Ambiente</t>
        </is>
      </c>
      <c r="H78" s="12" t="inlineStr">
        <is>
          <t>12 meses</t>
        </is>
      </c>
      <c r="I78" s="15" t="inlineStr">
        <is>
          <t>0.16 kg</t>
        </is>
      </c>
      <c r="J78" s="17" t="inlineStr">
        <is>
          <t>OK</t>
        </is>
      </c>
      <c r="K78" s="18" t="inlineStr">
        <is>
          <t>23 cafés/semana × ~7 g. Um saco dá ~9 semanas. Café perde qualidade — comprar o formato mais pequeno.</t>
        </is>
      </c>
    </row>
    <row r="79">
      <c r="A79" s="11" t="inlineStr">
        <is>
          <t>Chá (variedades)</t>
        </is>
      </c>
      <c r="B79" s="12" t="inlineStr">
        <is>
          <t>Caixa 100 saquetas</t>
        </is>
      </c>
      <c r="C79" s="13" t="n">
        <v>8</v>
      </c>
      <c r="D79" s="14" t="inlineStr">
        <is>
          <t>BD</t>
        </is>
      </c>
      <c r="E79" s="15" t="n">
        <v>1</v>
      </c>
      <c r="F79" s="16">
        <f>IFERROR(C79*E79,0)</f>
        <v>8</v>
      </c>
      <c r="G79" s="15" t="inlineStr">
        <is>
          <t>Ambiente</t>
        </is>
      </c>
      <c r="H79" s="12" t="inlineStr">
        <is>
          <t>24 meses</t>
        </is>
      </c>
      <c r="I79" s="15" t="inlineStr">
        <is>
          <t>3 un</t>
        </is>
      </c>
      <c r="J79" s="17" t="inlineStr">
        <is>
          <t>OK</t>
        </is>
      </c>
      <c r="K79" s="18" t="inlineStr"/>
    </row>
    <row r="80">
      <c r="A80" s="11" t="inlineStr">
        <is>
          <t>Polpa de manga/maracujá congelada</t>
        </is>
      </c>
      <c r="B80" s="12" t="inlineStr">
        <is>
          <t>Caixa 10×100 g</t>
        </is>
      </c>
      <c r="C80" s="13" t="n">
        <v>5.5</v>
      </c>
      <c r="D80" s="14" t="inlineStr">
        <is>
          <t>BD</t>
        </is>
      </c>
      <c r="E80" s="15" t="n">
        <v>1</v>
      </c>
      <c r="F80" s="16">
        <f>IFERROR(C80*E80,0)</f>
        <v>5.5</v>
      </c>
      <c r="G80" s="15" t="inlineStr">
        <is>
          <t>Congelado</t>
        </is>
      </c>
      <c r="H80" s="12" t="inlineStr">
        <is>
          <t>12 meses</t>
        </is>
      </c>
      <c r="I80" s="15" t="inlineStr">
        <is>
          <t>4.5 un</t>
        </is>
      </c>
      <c r="J80" s="17" t="inlineStr">
        <is>
          <t>OK</t>
        </is>
      </c>
      <c r="K80" s="18" t="inlineStr"/>
    </row>
    <row r="82">
      <c r="A82" s="30" t="inlineStr">
        <is>
          <t>TOTAL</t>
        </is>
      </c>
      <c r="F82" s="31">
        <f>SUM(F6:F80)</f>
        <v>794.45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4" customWidth="1" min="2" max="2"/>
    <col width="15" customWidth="1" min="3" max="3"/>
    <col width="8" customWidth="1" min="4" max="4"/>
    <col width="12" customWidth="1" min="5" max="5"/>
    <col width="14" customWidth="1" min="6" max="6"/>
    <col width="14" customWidth="1" min="7" max="7"/>
    <col width="18" customWidth="1" min="8" max="8"/>
    <col width="15" customWidth="1" min="9" max="9"/>
    <col width="11" customWidth="1" min="10" max="10"/>
    <col width="58" customWidth="1" min="11" max="11"/>
  </cols>
  <sheetData>
    <row r="1">
      <c r="A1" s="8" t="inlineStr">
        <is>
          <t>BAR — BEBIDAS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2" t="inlineStr">
        <is>
          <t>As cervejas da casa não estão dimensionadas: não há custo de produção em sistema.</t>
        </is>
      </c>
    </row>
    <row r="4" ht="32" customHeight="1">
      <c r="A4" s="10" t="inlineStr">
        <is>
          <t>Artigo</t>
        </is>
      </c>
      <c r="B4" s="10" t="inlineStr">
        <is>
          <t>Formato de compra</t>
        </is>
      </c>
      <c r="C4" s="10" t="inlineStr">
        <is>
          <t>Preço/formato (€)</t>
        </is>
      </c>
      <c r="D4" s="10" t="inlineStr">
        <is>
          <t>Fonte</t>
        </is>
      </c>
      <c r="E4" s="10" t="inlineStr">
        <is>
          <t>Qtd a comprar</t>
        </is>
      </c>
      <c r="F4" s="10" t="inlineStr">
        <is>
          <t>Custo total (€)</t>
        </is>
      </c>
      <c r="G4" s="10" t="inlineStr">
        <is>
          <t>Conservação</t>
        </is>
      </c>
      <c r="H4" s="10" t="inlineStr">
        <is>
          <t>Validade</t>
        </is>
      </c>
      <c r="I4" s="10" t="inlineStr">
        <is>
          <t>Consumo/semana</t>
        </is>
      </c>
      <c r="J4" s="10" t="inlineStr">
        <is>
          <t>Risco</t>
        </is>
      </c>
      <c r="K4" s="10" t="inlineStr">
        <is>
          <t>Nota da Chef</t>
        </is>
      </c>
    </row>
    <row r="5">
      <c r="A5" s="3" t="inlineStr">
        <is>
          <t>Bar — cervejas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1" t="inlineStr">
        <is>
          <t>Barril Sagres 50 L</t>
        </is>
      </c>
      <c r="B6" s="12" t="inlineStr">
        <is>
          <t>Barril</t>
        </is>
      </c>
      <c r="C6" s="13" t="n">
        <v>90</v>
      </c>
      <c r="D6" s="14" t="inlineStr">
        <is>
          <t>BD</t>
        </is>
      </c>
      <c r="E6" s="15" t="n">
        <v>1</v>
      </c>
      <c r="F6" s="16">
        <f>IFERROR(C6*E6,0)</f>
        <v>90</v>
      </c>
      <c r="G6" s="15" t="inlineStr">
        <is>
          <t>Refrigerado</t>
        </is>
      </c>
      <c r="H6" s="12" t="inlineStr">
        <is>
          <t>3 meses</t>
        </is>
      </c>
      <c r="I6" s="15" t="inlineStr">
        <is>
          <t>—</t>
        </is>
      </c>
      <c r="J6" s="15" t="inlineStr">
        <is>
          <t>—</t>
        </is>
      </c>
      <c r="K6" s="18" t="inlineStr">
        <is>
          <t>Custo 1,80 €/L na BD. Um barril = 50 L = ~150 imperiais. A 10 clientes/dia demora ~4 semanas a escoar — dentro da validade, mas justo.</t>
        </is>
      </c>
    </row>
    <row r="7">
      <c r="A7" s="23" t="inlineStr">
        <is>
          <t>Cerveja da casa — Lager (Pressão da Casa)</t>
        </is>
      </c>
      <c r="B7" s="24" t="inlineStr">
        <is>
          <t>a definir</t>
        </is>
      </c>
      <c r="C7" s="24" t="inlineStr">
        <is>
          <t>a definir</t>
        </is>
      </c>
      <c r="D7" s="29" t="inlineStr">
        <is>
          <t>EST</t>
        </is>
      </c>
      <c r="E7" s="21" t="n">
        <v>0</v>
      </c>
      <c r="F7" s="27">
        <f>IFERROR(C7*E7,0)</f>
        <v>0</v>
      </c>
      <c r="G7" s="21" t="inlineStr">
        <is>
          <t>Refrigerado</t>
        </is>
      </c>
      <c r="H7" s="24" t="inlineStr">
        <is>
          <t>—</t>
        </is>
      </c>
      <c r="I7" s="21" t="inlineStr">
        <is>
          <t>—</t>
        </is>
      </c>
      <c r="J7" s="21" t="inlineStr">
        <is>
          <t>—</t>
        </is>
      </c>
      <c r="K7" s="28" t="inlineStr">
        <is>
          <t>SEM CUSTO EM SISTEMA. Não consigo dimensionar nem orçamentar. Bloqueio.</t>
        </is>
      </c>
    </row>
    <row r="8">
      <c r="A8" s="32" t="inlineStr">
        <is>
          <t>Cerveja da casa — IPA (Copo Cheio)</t>
        </is>
      </c>
      <c r="B8" s="33" t="inlineStr">
        <is>
          <t>a definir</t>
        </is>
      </c>
      <c r="C8" s="33" t="inlineStr">
        <is>
          <t>a definir</t>
        </is>
      </c>
      <c r="D8" s="34" t="inlineStr">
        <is>
          <t>EST</t>
        </is>
      </c>
      <c r="E8" s="35" t="n">
        <v>0</v>
      </c>
      <c r="F8" s="36">
        <f>IFERROR(C8*E8,0)</f>
        <v>0</v>
      </c>
      <c r="G8" s="35" t="inlineStr">
        <is>
          <t>Refrigerado</t>
        </is>
      </c>
      <c r="H8" s="33" t="inlineStr">
        <is>
          <t>—</t>
        </is>
      </c>
      <c r="I8" s="35" t="inlineStr">
        <is>
          <t>—</t>
        </is>
      </c>
      <c r="J8" s="35" t="inlineStr">
        <is>
          <t>—</t>
        </is>
      </c>
      <c r="K8" s="37" t="inlineStr">
        <is>
          <t>Idem.</t>
        </is>
      </c>
    </row>
    <row r="9">
      <c r="A9" s="32" t="inlineStr">
        <is>
          <t>Cerveja da casa — Stout (Noite Fechada)</t>
        </is>
      </c>
      <c r="B9" s="33" t="inlineStr">
        <is>
          <t>a definir</t>
        </is>
      </c>
      <c r="C9" s="33" t="inlineStr">
        <is>
          <t>a definir</t>
        </is>
      </c>
      <c r="D9" s="34" t="inlineStr">
        <is>
          <t>EST</t>
        </is>
      </c>
      <c r="E9" s="35" t="n">
        <v>0</v>
      </c>
      <c r="F9" s="36">
        <f>IFERROR(C9*E9,0)</f>
        <v>0</v>
      </c>
      <c r="G9" s="35" t="inlineStr">
        <is>
          <t>Refrigerado</t>
        </is>
      </c>
      <c r="H9" s="33" t="inlineStr">
        <is>
          <t>—</t>
        </is>
      </c>
      <c r="I9" s="35" t="inlineStr">
        <is>
          <t>—</t>
        </is>
      </c>
      <c r="J9" s="35" t="inlineStr">
        <is>
          <t>—</t>
        </is>
      </c>
      <c r="K9" s="37" t="inlineStr">
        <is>
          <t>Idem.</t>
        </is>
      </c>
    </row>
    <row r="10">
      <c r="A10" s="11" t="inlineStr">
        <is>
          <t>Sagres 20 cl (garrafa)</t>
        </is>
      </c>
      <c r="B10" s="12" t="inlineStr">
        <is>
          <t>Grade 24 un</t>
        </is>
      </c>
      <c r="C10" s="13" t="n">
        <v>24</v>
      </c>
      <c r="D10" s="14" t="inlineStr">
        <is>
          <t>BD</t>
        </is>
      </c>
      <c r="E10" s="15" t="n">
        <v>1</v>
      </c>
      <c r="F10" s="16">
        <f>IFERROR(C10*E10,0)</f>
        <v>24</v>
      </c>
      <c r="G10" s="15" t="inlineStr">
        <is>
          <t>Ambiente</t>
        </is>
      </c>
      <c r="H10" s="12" t="inlineStr">
        <is>
          <t>9 meses</t>
        </is>
      </c>
      <c r="I10" s="15" t="inlineStr">
        <is>
          <t>—</t>
        </is>
      </c>
      <c r="J10" s="15" t="inlineStr">
        <is>
          <t>—</t>
        </is>
      </c>
      <c r="K10" s="18" t="inlineStr"/>
    </row>
    <row r="11">
      <c r="A11" s="3" t="inlineStr">
        <is>
          <t>Bar — refrigerantes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1" t="inlineStr">
        <is>
          <t>Coca-Cola / Zero 33 cl</t>
        </is>
      </c>
      <c r="B12" s="12" t="inlineStr">
        <is>
          <t>Pack 24 un</t>
        </is>
      </c>
      <c r="C12" s="13" t="n">
        <v>13</v>
      </c>
      <c r="D12" s="19" t="inlineStr">
        <is>
          <t>EST</t>
        </is>
      </c>
      <c r="E12" s="15" t="n">
        <v>2</v>
      </c>
      <c r="F12" s="16">
        <f>IFERROR(C12*E12,0)</f>
        <v>26</v>
      </c>
      <c r="G12" s="15" t="inlineStr">
        <is>
          <t>Ambiente</t>
        </is>
      </c>
      <c r="H12" s="12" t="inlineStr">
        <is>
          <t>9 meses</t>
        </is>
      </c>
      <c r="I12" s="15" t="inlineStr">
        <is>
          <t>—</t>
        </is>
      </c>
      <c r="J12" s="15" t="inlineStr">
        <is>
          <t>—</t>
        </is>
      </c>
      <c r="K12" s="18" t="inlineStr"/>
    </row>
    <row r="13">
      <c r="A13" s="11" t="inlineStr">
        <is>
          <t>Fanta / Sprite 33 cl</t>
        </is>
      </c>
      <c r="B13" s="12" t="inlineStr">
        <is>
          <t>Pack 24 un</t>
        </is>
      </c>
      <c r="C13" s="13" t="n">
        <v>12.5</v>
      </c>
      <c r="D13" s="19" t="inlineStr">
        <is>
          <t>EST</t>
        </is>
      </c>
      <c r="E13" s="15" t="n">
        <v>1</v>
      </c>
      <c r="F13" s="16">
        <f>IFERROR(C13*E13,0)</f>
        <v>12.5</v>
      </c>
      <c r="G13" s="15" t="inlineStr">
        <is>
          <t>Ambiente</t>
        </is>
      </c>
      <c r="H13" s="12" t="inlineStr">
        <is>
          <t>9 meses</t>
        </is>
      </c>
      <c r="I13" s="15" t="inlineStr">
        <is>
          <t>—</t>
        </is>
      </c>
      <c r="J13" s="15" t="inlineStr">
        <is>
          <t>—</t>
        </is>
      </c>
      <c r="K13" s="18" t="inlineStr"/>
    </row>
    <row r="14">
      <c r="A14" s="11" t="inlineStr">
        <is>
          <t>Guaraná Antarctica 33 cl</t>
        </is>
      </c>
      <c r="B14" s="12" t="inlineStr">
        <is>
          <t>Pack 12 un</t>
        </is>
      </c>
      <c r="C14" s="13" t="n">
        <v>9.6</v>
      </c>
      <c r="D14" s="19" t="inlineStr">
        <is>
          <t>EST</t>
        </is>
      </c>
      <c r="E14" s="15" t="n">
        <v>1</v>
      </c>
      <c r="F14" s="16">
        <f>IFERROR(C14*E14,0)</f>
        <v>9.6</v>
      </c>
      <c r="G14" s="15" t="inlineStr">
        <is>
          <t>Ambiente</t>
        </is>
      </c>
      <c r="H14" s="12" t="inlineStr">
        <is>
          <t>9 meses</t>
        </is>
      </c>
      <c r="I14" s="15" t="inlineStr">
        <is>
          <t>—</t>
        </is>
      </c>
      <c r="J14" s="15" t="inlineStr">
        <is>
          <t>—</t>
        </is>
      </c>
      <c r="K14" s="18" t="inlineStr"/>
    </row>
    <row r="15">
      <c r="A15" s="11" t="inlineStr">
        <is>
          <t>Ice Tea 33 cl</t>
        </is>
      </c>
      <c r="B15" s="12" t="inlineStr">
        <is>
          <t>Pack 24 un</t>
        </is>
      </c>
      <c r="C15" s="13" t="n">
        <v>12</v>
      </c>
      <c r="D15" s="19" t="inlineStr">
        <is>
          <t>EST</t>
        </is>
      </c>
      <c r="E15" s="15" t="n">
        <v>1</v>
      </c>
      <c r="F15" s="16">
        <f>IFERROR(C15*E15,0)</f>
        <v>12</v>
      </c>
      <c r="G15" s="15" t="inlineStr">
        <is>
          <t>Ambiente</t>
        </is>
      </c>
      <c r="H15" s="12" t="inlineStr">
        <is>
          <t>9 meses</t>
        </is>
      </c>
      <c r="I15" s="15" t="inlineStr">
        <is>
          <t>—</t>
        </is>
      </c>
      <c r="J15" s="15" t="inlineStr">
        <is>
          <t>—</t>
        </is>
      </c>
      <c r="K15" s="18" t="inlineStr"/>
    </row>
    <row r="16">
      <c r="A16" s="11" t="inlineStr">
        <is>
          <t>Ucal 20 cl</t>
        </is>
      </c>
      <c r="B16" s="12" t="inlineStr">
        <is>
          <t>Pack 24 un</t>
        </is>
      </c>
      <c r="C16" s="13" t="n">
        <v>14.4</v>
      </c>
      <c r="D16" s="19" t="inlineStr">
        <is>
          <t>EST</t>
        </is>
      </c>
      <c r="E16" s="15" t="n">
        <v>1</v>
      </c>
      <c r="F16" s="16">
        <f>IFERROR(C16*E16,0)</f>
        <v>14.4</v>
      </c>
      <c r="G16" s="15" t="inlineStr">
        <is>
          <t>Ambiente</t>
        </is>
      </c>
      <c r="H16" s="12" t="inlineStr">
        <is>
          <t>6 meses</t>
        </is>
      </c>
      <c r="I16" s="15" t="inlineStr">
        <is>
          <t>—</t>
        </is>
      </c>
      <c r="J16" s="15" t="inlineStr">
        <is>
          <t>—</t>
        </is>
      </c>
      <c r="K16" s="18" t="inlineStr"/>
    </row>
    <row r="17">
      <c r="A17" s="11" t="inlineStr">
        <is>
          <t>Néctar pêssego/maçã</t>
        </is>
      </c>
      <c r="B17" s="12" t="inlineStr">
        <is>
          <t>Pack 24 un</t>
        </is>
      </c>
      <c r="C17" s="13" t="n">
        <v>11</v>
      </c>
      <c r="D17" s="19" t="inlineStr">
        <is>
          <t>EST</t>
        </is>
      </c>
      <c r="E17" s="15" t="n">
        <v>1</v>
      </c>
      <c r="F17" s="16">
        <f>IFERROR(C17*E17,0)</f>
        <v>11</v>
      </c>
      <c r="G17" s="15" t="inlineStr">
        <is>
          <t>Ambiente</t>
        </is>
      </c>
      <c r="H17" s="12" t="inlineStr">
        <is>
          <t>9 meses</t>
        </is>
      </c>
      <c r="I17" s="15" t="inlineStr">
        <is>
          <t>—</t>
        </is>
      </c>
      <c r="J17" s="15" t="inlineStr">
        <is>
          <t>—</t>
        </is>
      </c>
      <c r="K17" s="18" t="inlineStr"/>
    </row>
    <row r="18">
      <c r="A18" s="11" t="inlineStr">
        <is>
          <t>Sumo de ananás</t>
        </is>
      </c>
      <c r="B18" s="12" t="inlineStr">
        <is>
          <t>Pack 12 un</t>
        </is>
      </c>
      <c r="C18" s="13" t="n">
        <v>9</v>
      </c>
      <c r="D18" s="19" t="inlineStr">
        <is>
          <t>EST</t>
        </is>
      </c>
      <c r="E18" s="15" t="n">
        <v>1</v>
      </c>
      <c r="F18" s="16">
        <f>IFERROR(C18*E18,0)</f>
        <v>9</v>
      </c>
      <c r="G18" s="15" t="inlineStr">
        <is>
          <t>Ambiente</t>
        </is>
      </c>
      <c r="H18" s="12" t="inlineStr">
        <is>
          <t>9 meses</t>
        </is>
      </c>
      <c r="I18" s="15" t="inlineStr">
        <is>
          <t>—</t>
        </is>
      </c>
      <c r="J18" s="15" t="inlineStr">
        <is>
          <t>—</t>
        </is>
      </c>
      <c r="K18" s="18" t="inlineStr"/>
    </row>
    <row r="19">
      <c r="A19" s="3" t="inlineStr">
        <is>
          <t>Bar — águas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1" t="inlineStr">
        <is>
          <t>Água sem gás 33 cl</t>
        </is>
      </c>
      <c r="B20" s="12" t="inlineStr">
        <is>
          <t>Pack 24 un</t>
        </is>
      </c>
      <c r="C20" s="13" t="n">
        <v>5</v>
      </c>
      <c r="D20" s="19" t="inlineStr">
        <is>
          <t>EST</t>
        </is>
      </c>
      <c r="E20" s="15" t="n">
        <v>2</v>
      </c>
      <c r="F20" s="16">
        <f>IFERROR(C20*E20,0)</f>
        <v>10</v>
      </c>
      <c r="G20" s="15" t="inlineStr">
        <is>
          <t>Ambiente</t>
        </is>
      </c>
      <c r="H20" s="12" t="inlineStr">
        <is>
          <t>12 meses</t>
        </is>
      </c>
      <c r="I20" s="15" t="inlineStr">
        <is>
          <t>—</t>
        </is>
      </c>
      <c r="J20" s="15" t="inlineStr">
        <is>
          <t>—</t>
        </is>
      </c>
      <c r="K20" s="18" t="inlineStr"/>
    </row>
    <row r="21">
      <c r="A21" s="11" t="inlineStr">
        <is>
          <t>Água das Pedras 33 cl</t>
        </is>
      </c>
      <c r="B21" s="12" t="inlineStr">
        <is>
          <t>Pack 24 un</t>
        </is>
      </c>
      <c r="C21" s="13" t="n">
        <v>6</v>
      </c>
      <c r="D21" s="14" t="inlineStr">
        <is>
          <t>BD</t>
        </is>
      </c>
      <c r="E21" s="15" t="n">
        <v>1</v>
      </c>
      <c r="F21" s="16">
        <f>IFERROR(C21*E21,0)</f>
        <v>6</v>
      </c>
      <c r="G21" s="15" t="inlineStr">
        <is>
          <t>Ambiente</t>
        </is>
      </c>
      <c r="H21" s="12" t="inlineStr">
        <is>
          <t>12 meses</t>
        </is>
      </c>
      <c r="I21" s="15" t="inlineStr">
        <is>
          <t>—</t>
        </is>
      </c>
      <c r="J21" s="15" t="inlineStr">
        <is>
          <t>—</t>
        </is>
      </c>
      <c r="K21" s="18" t="inlineStr"/>
    </row>
    <row r="22">
      <c r="A22" s="3" t="inlineStr">
        <is>
          <t>Bar — vinhos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1" t="inlineStr">
        <is>
          <t>Vinho Verde branco</t>
        </is>
      </c>
      <c r="B23" s="12" t="inlineStr">
        <is>
          <t>Caixa 6 garrafas</t>
        </is>
      </c>
      <c r="C23" s="13" t="n">
        <v>24</v>
      </c>
      <c r="D23" s="19" t="inlineStr">
        <is>
          <t>EST</t>
        </is>
      </c>
      <c r="E23" s="15" t="n">
        <v>1</v>
      </c>
      <c r="F23" s="16">
        <f>IFERROR(C23*E23,0)</f>
        <v>24</v>
      </c>
      <c r="G23" s="15" t="inlineStr">
        <is>
          <t>Ambiente</t>
        </is>
      </c>
      <c r="H23" s="12" t="inlineStr">
        <is>
          <t>24 meses</t>
        </is>
      </c>
      <c r="I23" s="15" t="inlineStr">
        <is>
          <t>—</t>
        </is>
      </c>
      <c r="J23" s="15" t="inlineStr">
        <is>
          <t>—</t>
        </is>
      </c>
      <c r="K23" s="18" t="inlineStr"/>
    </row>
    <row r="24">
      <c r="A24" s="11" t="inlineStr">
        <is>
          <t>Branco da casa</t>
        </is>
      </c>
      <c r="B24" s="12" t="inlineStr">
        <is>
          <t>Caixa 6 garrafas</t>
        </is>
      </c>
      <c r="C24" s="13" t="n">
        <v>22</v>
      </c>
      <c r="D24" s="19" t="inlineStr">
        <is>
          <t>EST</t>
        </is>
      </c>
      <c r="E24" s="15" t="n">
        <v>1</v>
      </c>
      <c r="F24" s="16">
        <f>IFERROR(C24*E24,0)</f>
        <v>22</v>
      </c>
      <c r="G24" s="15" t="inlineStr">
        <is>
          <t>Ambiente</t>
        </is>
      </c>
      <c r="H24" s="12" t="inlineStr">
        <is>
          <t>24 meses</t>
        </is>
      </c>
      <c r="I24" s="15" t="inlineStr">
        <is>
          <t>—</t>
        </is>
      </c>
      <c r="J24" s="15" t="inlineStr">
        <is>
          <t>—</t>
        </is>
      </c>
      <c r="K24" s="18" t="inlineStr"/>
    </row>
    <row r="25">
      <c r="A25" s="11" t="inlineStr">
        <is>
          <t>Tinto da casa</t>
        </is>
      </c>
      <c r="B25" s="12" t="inlineStr">
        <is>
          <t>Caixa 6 garrafas</t>
        </is>
      </c>
      <c r="C25" s="13" t="n">
        <v>24</v>
      </c>
      <c r="D25" s="19" t="inlineStr">
        <is>
          <t>EST</t>
        </is>
      </c>
      <c r="E25" s="15" t="n">
        <v>1</v>
      </c>
      <c r="F25" s="16">
        <f>IFERROR(C25*E25,0)</f>
        <v>24</v>
      </c>
      <c r="G25" s="15" t="inlineStr">
        <is>
          <t>Ambiente</t>
        </is>
      </c>
      <c r="H25" s="12" t="inlineStr">
        <is>
          <t>36 meses</t>
        </is>
      </c>
      <c r="I25" s="15" t="inlineStr">
        <is>
          <t>—</t>
        </is>
      </c>
      <c r="J25" s="15" t="inlineStr">
        <is>
          <t>—</t>
        </is>
      </c>
      <c r="K25" s="18" t="inlineStr"/>
    </row>
    <row r="26">
      <c r="A26" s="11" t="inlineStr">
        <is>
          <t>Rosé</t>
        </is>
      </c>
      <c r="B26" s="12" t="inlineStr">
        <is>
          <t>Caixa 6 garrafas</t>
        </is>
      </c>
      <c r="C26" s="13" t="n">
        <v>24</v>
      </c>
      <c r="D26" s="19" t="inlineStr">
        <is>
          <t>EST</t>
        </is>
      </c>
      <c r="E26" s="15" t="n">
        <v>1</v>
      </c>
      <c r="F26" s="16">
        <f>IFERROR(C26*E26,0)</f>
        <v>24</v>
      </c>
      <c r="G26" s="15" t="inlineStr">
        <is>
          <t>Ambiente</t>
        </is>
      </c>
      <c r="H26" s="12" t="inlineStr">
        <is>
          <t>18 meses</t>
        </is>
      </c>
      <c r="I26" s="15" t="inlineStr">
        <is>
          <t>—</t>
        </is>
      </c>
      <c r="J26" s="15" t="inlineStr">
        <is>
          <t>—</t>
        </is>
      </c>
      <c r="K26" s="18" t="inlineStr"/>
    </row>
    <row r="27">
      <c r="A27" s="11" t="inlineStr">
        <is>
          <t>Espumante bruto</t>
        </is>
      </c>
      <c r="B27" s="12" t="inlineStr">
        <is>
          <t>Caixa 6 garrafas</t>
        </is>
      </c>
      <c r="C27" s="13" t="n">
        <v>42</v>
      </c>
      <c r="D27" s="19" t="inlineStr">
        <is>
          <t>EST</t>
        </is>
      </c>
      <c r="E27" s="15" t="n">
        <v>1</v>
      </c>
      <c r="F27" s="16">
        <f>IFERROR(C27*E27,0)</f>
        <v>42</v>
      </c>
      <c r="G27" s="15" t="inlineStr">
        <is>
          <t>Ambiente</t>
        </is>
      </c>
      <c r="H27" s="12" t="inlineStr">
        <is>
          <t>24 meses</t>
        </is>
      </c>
      <c r="I27" s="15" t="inlineStr">
        <is>
          <t>—</t>
        </is>
      </c>
      <c r="J27" s="15" t="inlineStr">
        <is>
          <t>—</t>
        </is>
      </c>
      <c r="K27" s="18" t="inlineStr"/>
    </row>
    <row r="28">
      <c r="A28" s="3" t="inlineStr">
        <is>
          <t>Bar — espirituosas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1" t="inlineStr">
        <is>
          <t>Gin nacional</t>
        </is>
      </c>
      <c r="B29" s="12" t="inlineStr">
        <is>
          <t>Garrafa 70 cl</t>
        </is>
      </c>
      <c r="C29" s="13" t="n">
        <v>12</v>
      </c>
      <c r="D29" s="19" t="inlineStr">
        <is>
          <t>EST</t>
        </is>
      </c>
      <c r="E29" s="15" t="n">
        <v>1</v>
      </c>
      <c r="F29" s="16">
        <f>IFERROR(C29*E29,0)</f>
        <v>12</v>
      </c>
      <c r="G29" s="15" t="inlineStr">
        <is>
          <t>Ambiente</t>
        </is>
      </c>
      <c r="H29" s="12" t="inlineStr">
        <is>
          <t>ilimitada</t>
        </is>
      </c>
      <c r="I29" s="15" t="inlineStr">
        <is>
          <t>—</t>
        </is>
      </c>
      <c r="J29" s="15" t="inlineStr">
        <is>
          <t>—</t>
        </is>
      </c>
      <c r="K29" s="18" t="inlineStr"/>
    </row>
    <row r="30">
      <c r="A30" s="11" t="inlineStr">
        <is>
          <t>Gin premium</t>
        </is>
      </c>
      <c r="B30" s="12" t="inlineStr">
        <is>
          <t>Garrafa 70 cl</t>
        </is>
      </c>
      <c r="C30" s="13" t="n">
        <v>25</v>
      </c>
      <c r="D30" s="19" t="inlineStr">
        <is>
          <t>EST</t>
        </is>
      </c>
      <c r="E30" s="15" t="n">
        <v>1</v>
      </c>
      <c r="F30" s="16">
        <f>IFERROR(C30*E30,0)</f>
        <v>25</v>
      </c>
      <c r="G30" s="15" t="inlineStr">
        <is>
          <t>Ambiente</t>
        </is>
      </c>
      <c r="H30" s="12" t="inlineStr">
        <is>
          <t>ilimitada</t>
        </is>
      </c>
      <c r="I30" s="15" t="inlineStr">
        <is>
          <t>—</t>
        </is>
      </c>
      <c r="J30" s="15" t="inlineStr">
        <is>
          <t>—</t>
        </is>
      </c>
      <c r="K30" s="18" t="inlineStr"/>
    </row>
    <row r="31">
      <c r="A31" s="11" t="inlineStr">
        <is>
          <t>Vodka</t>
        </is>
      </c>
      <c r="B31" s="12" t="inlineStr">
        <is>
          <t>Garrafa 70 cl</t>
        </is>
      </c>
      <c r="C31" s="13" t="n">
        <v>11</v>
      </c>
      <c r="D31" s="19" t="inlineStr">
        <is>
          <t>EST</t>
        </is>
      </c>
      <c r="E31" s="15" t="n">
        <v>1</v>
      </c>
      <c r="F31" s="16">
        <f>IFERROR(C31*E31,0)</f>
        <v>11</v>
      </c>
      <c r="G31" s="15" t="inlineStr">
        <is>
          <t>Ambiente</t>
        </is>
      </c>
      <c r="H31" s="12" t="inlineStr">
        <is>
          <t>ilimitada</t>
        </is>
      </c>
      <c r="I31" s="15" t="inlineStr">
        <is>
          <t>—</t>
        </is>
      </c>
      <c r="J31" s="15" t="inlineStr">
        <is>
          <t>—</t>
        </is>
      </c>
      <c r="K31" s="18" t="inlineStr"/>
    </row>
    <row r="32">
      <c r="A32" s="11" t="inlineStr">
        <is>
          <t>Whisky blend nacional</t>
        </is>
      </c>
      <c r="B32" s="12" t="inlineStr">
        <is>
          <t>Garrafa 70 cl</t>
        </is>
      </c>
      <c r="C32" s="13" t="n">
        <v>13</v>
      </c>
      <c r="D32" s="19" t="inlineStr">
        <is>
          <t>EST</t>
        </is>
      </c>
      <c r="E32" s="15" t="n">
        <v>1</v>
      </c>
      <c r="F32" s="16">
        <f>IFERROR(C32*E32,0)</f>
        <v>13</v>
      </c>
      <c r="G32" s="15" t="inlineStr">
        <is>
          <t>Ambiente</t>
        </is>
      </c>
      <c r="H32" s="12" t="inlineStr">
        <is>
          <t>ilimitada</t>
        </is>
      </c>
      <c r="I32" s="15" t="inlineStr">
        <is>
          <t>—</t>
        </is>
      </c>
      <c r="J32" s="15" t="inlineStr">
        <is>
          <t>—</t>
        </is>
      </c>
      <c r="K32" s="18" t="inlineStr"/>
    </row>
    <row r="33">
      <c r="A33" s="11" t="inlineStr">
        <is>
          <t>Whisky single malt</t>
        </is>
      </c>
      <c r="B33" s="12" t="inlineStr">
        <is>
          <t>Garrafa 70 cl</t>
        </is>
      </c>
      <c r="C33" s="13" t="n">
        <v>32</v>
      </c>
      <c r="D33" s="19" t="inlineStr">
        <is>
          <t>EST</t>
        </is>
      </c>
      <c r="E33" s="15" t="n">
        <v>1</v>
      </c>
      <c r="F33" s="16">
        <f>IFERROR(C33*E33,0)</f>
        <v>32</v>
      </c>
      <c r="G33" s="15" t="inlineStr">
        <is>
          <t>Ambiente</t>
        </is>
      </c>
      <c r="H33" s="12" t="inlineStr">
        <is>
          <t>ilimitada</t>
        </is>
      </c>
      <c r="I33" s="15" t="inlineStr">
        <is>
          <t>—</t>
        </is>
      </c>
      <c r="J33" s="15" t="inlineStr">
        <is>
          <t>—</t>
        </is>
      </c>
      <c r="K33" s="18" t="inlineStr"/>
    </row>
    <row r="34">
      <c r="A34" s="11" t="inlineStr">
        <is>
          <t>Rum branco/dourado</t>
        </is>
      </c>
      <c r="B34" s="12" t="inlineStr">
        <is>
          <t>Garrafa 70 cl</t>
        </is>
      </c>
      <c r="C34" s="13" t="n">
        <v>13</v>
      </c>
      <c r="D34" s="19" t="inlineStr">
        <is>
          <t>EST</t>
        </is>
      </c>
      <c r="E34" s="15" t="n">
        <v>1</v>
      </c>
      <c r="F34" s="16">
        <f>IFERROR(C34*E34,0)</f>
        <v>13</v>
      </c>
      <c r="G34" s="15" t="inlineStr">
        <is>
          <t>Ambiente</t>
        </is>
      </c>
      <c r="H34" s="12" t="inlineStr">
        <is>
          <t>ilimitada</t>
        </is>
      </c>
      <c r="I34" s="15" t="inlineStr">
        <is>
          <t>—</t>
        </is>
      </c>
      <c r="J34" s="15" t="inlineStr">
        <is>
          <t>—</t>
        </is>
      </c>
      <c r="K34" s="18" t="inlineStr"/>
    </row>
    <row r="35">
      <c r="A35" s="11" t="inlineStr">
        <is>
          <t>Cachaça</t>
        </is>
      </c>
      <c r="B35" s="12" t="inlineStr">
        <is>
          <t>Garrafa 70 cl</t>
        </is>
      </c>
      <c r="C35" s="13" t="n">
        <v>10</v>
      </c>
      <c r="D35" s="19" t="inlineStr">
        <is>
          <t>EST</t>
        </is>
      </c>
      <c r="E35" s="15" t="n">
        <v>1</v>
      </c>
      <c r="F35" s="16">
        <f>IFERROR(C35*E35,0)</f>
        <v>10</v>
      </c>
      <c r="G35" s="15" t="inlineStr">
        <is>
          <t>Ambiente</t>
        </is>
      </c>
      <c r="H35" s="12" t="inlineStr">
        <is>
          <t>ilimitada</t>
        </is>
      </c>
      <c r="I35" s="15" t="inlineStr">
        <is>
          <t>—</t>
        </is>
      </c>
      <c r="J35" s="15" t="inlineStr">
        <is>
          <t>—</t>
        </is>
      </c>
      <c r="K35" s="18" t="inlineStr"/>
    </row>
    <row r="36">
      <c r="A36" s="11" t="inlineStr">
        <is>
          <t>Cachaça envelhecida</t>
        </is>
      </c>
      <c r="B36" s="12" t="inlineStr">
        <is>
          <t>Garrafa 70 cl</t>
        </is>
      </c>
      <c r="C36" s="13" t="n">
        <v>18</v>
      </c>
      <c r="D36" s="19" t="inlineStr">
        <is>
          <t>EST</t>
        </is>
      </c>
      <c r="E36" s="15" t="n">
        <v>1</v>
      </c>
      <c r="F36" s="16">
        <f>IFERROR(C36*E36,0)</f>
        <v>18</v>
      </c>
      <c r="G36" s="15" t="inlineStr">
        <is>
          <t>Ambiente</t>
        </is>
      </c>
      <c r="H36" s="12" t="inlineStr">
        <is>
          <t>ilimitada</t>
        </is>
      </c>
      <c r="I36" s="15" t="inlineStr">
        <is>
          <t>—</t>
        </is>
      </c>
      <c r="J36" s="15" t="inlineStr">
        <is>
          <t>—</t>
        </is>
      </c>
      <c r="K36" s="18" t="inlineStr"/>
    </row>
    <row r="37">
      <c r="A37" s="11" t="inlineStr">
        <is>
          <t>Tequila</t>
        </is>
      </c>
      <c r="B37" s="12" t="inlineStr">
        <is>
          <t>Garrafa 70 cl</t>
        </is>
      </c>
      <c r="C37" s="13" t="n">
        <v>16</v>
      </c>
      <c r="D37" s="19" t="inlineStr">
        <is>
          <t>EST</t>
        </is>
      </c>
      <c r="E37" s="15" t="n">
        <v>1</v>
      </c>
      <c r="F37" s="16">
        <f>IFERROR(C37*E37,0)</f>
        <v>16</v>
      </c>
      <c r="G37" s="15" t="inlineStr">
        <is>
          <t>Ambiente</t>
        </is>
      </c>
      <c r="H37" s="12" t="inlineStr">
        <is>
          <t>ilimitada</t>
        </is>
      </c>
      <c r="I37" s="15" t="inlineStr">
        <is>
          <t>—</t>
        </is>
      </c>
      <c r="J37" s="15" t="inlineStr">
        <is>
          <t>—</t>
        </is>
      </c>
      <c r="K37" s="18" t="inlineStr"/>
    </row>
    <row r="38">
      <c r="A38" s="11" t="inlineStr">
        <is>
          <t>Água tónica</t>
        </is>
      </c>
      <c r="B38" s="12" t="inlineStr">
        <is>
          <t>Pack 24 un</t>
        </is>
      </c>
      <c r="C38" s="13" t="n">
        <v>13</v>
      </c>
      <c r="D38" s="19" t="inlineStr">
        <is>
          <t>EST</t>
        </is>
      </c>
      <c r="E38" s="15" t="n">
        <v>1</v>
      </c>
      <c r="F38" s="16">
        <f>IFERROR(C38*E38,0)</f>
        <v>13</v>
      </c>
      <c r="G38" s="15" t="inlineStr">
        <is>
          <t>Ambiente</t>
        </is>
      </c>
      <c r="H38" s="12" t="inlineStr">
        <is>
          <t>9 meses</t>
        </is>
      </c>
      <c r="I38" s="15" t="inlineStr">
        <is>
          <t>—</t>
        </is>
      </c>
      <c r="J38" s="15" t="inlineStr">
        <is>
          <t>—</t>
        </is>
      </c>
      <c r="K38" s="18" t="inlineStr"/>
    </row>
    <row r="39">
      <c r="A39" s="3" t="inlineStr">
        <is>
          <t>Bar — digestivos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11" t="inlineStr">
        <is>
          <t>Ginjinha</t>
        </is>
      </c>
      <c r="B40" s="12" t="inlineStr">
        <is>
          <t>Garrafa 70 cl</t>
        </is>
      </c>
      <c r="C40" s="13" t="n">
        <v>9</v>
      </c>
      <c r="D40" s="19" t="inlineStr">
        <is>
          <t>EST</t>
        </is>
      </c>
      <c r="E40" s="15" t="n">
        <v>1</v>
      </c>
      <c r="F40" s="16">
        <f>IFERROR(C40*E40,0)</f>
        <v>9</v>
      </c>
      <c r="G40" s="15" t="inlineStr">
        <is>
          <t>Ambiente</t>
        </is>
      </c>
      <c r="H40" s="12" t="inlineStr">
        <is>
          <t>ilimitada</t>
        </is>
      </c>
      <c r="I40" s="15" t="inlineStr">
        <is>
          <t>—</t>
        </is>
      </c>
      <c r="J40" s="15" t="inlineStr">
        <is>
          <t>—</t>
        </is>
      </c>
      <c r="K40" s="18" t="inlineStr"/>
    </row>
    <row r="41">
      <c r="A41" s="11" t="inlineStr">
        <is>
          <t>Licor Beirão</t>
        </is>
      </c>
      <c r="B41" s="12" t="inlineStr">
        <is>
          <t>Garrafa 70 cl</t>
        </is>
      </c>
      <c r="C41" s="13" t="n">
        <v>12</v>
      </c>
      <c r="D41" s="19" t="inlineStr">
        <is>
          <t>EST</t>
        </is>
      </c>
      <c r="E41" s="15" t="n">
        <v>1</v>
      </c>
      <c r="F41" s="16">
        <f>IFERROR(C41*E41,0)</f>
        <v>12</v>
      </c>
      <c r="G41" s="15" t="inlineStr">
        <is>
          <t>Ambiente</t>
        </is>
      </c>
      <c r="H41" s="12" t="inlineStr">
        <is>
          <t>ilimitada</t>
        </is>
      </c>
      <c r="I41" s="15" t="inlineStr">
        <is>
          <t>—</t>
        </is>
      </c>
      <c r="J41" s="15" t="inlineStr">
        <is>
          <t>—</t>
        </is>
      </c>
      <c r="K41" s="18" t="inlineStr"/>
    </row>
    <row r="42">
      <c r="A42" s="11" t="inlineStr">
        <is>
          <t>Amaro</t>
        </is>
      </c>
      <c r="B42" s="12" t="inlineStr">
        <is>
          <t>Garrafa 70 cl</t>
        </is>
      </c>
      <c r="C42" s="13" t="n">
        <v>15</v>
      </c>
      <c r="D42" s="19" t="inlineStr">
        <is>
          <t>EST</t>
        </is>
      </c>
      <c r="E42" s="15" t="n">
        <v>1</v>
      </c>
      <c r="F42" s="16">
        <f>IFERROR(C42*E42,0)</f>
        <v>15</v>
      </c>
      <c r="G42" s="15" t="inlineStr">
        <is>
          <t>Ambiente</t>
        </is>
      </c>
      <c r="H42" s="12" t="inlineStr">
        <is>
          <t>ilimitada</t>
        </is>
      </c>
      <c r="I42" s="15" t="inlineStr">
        <is>
          <t>—</t>
        </is>
      </c>
      <c r="J42" s="15" t="inlineStr">
        <is>
          <t>—</t>
        </is>
      </c>
      <c r="K42" s="18" t="inlineStr"/>
    </row>
    <row r="43">
      <c r="A43" s="11" t="inlineStr">
        <is>
          <t>Licor 43</t>
        </is>
      </c>
      <c r="B43" s="12" t="inlineStr">
        <is>
          <t>Garrafa 70 cl</t>
        </is>
      </c>
      <c r="C43" s="13" t="n">
        <v>16</v>
      </c>
      <c r="D43" s="19" t="inlineStr">
        <is>
          <t>EST</t>
        </is>
      </c>
      <c r="E43" s="15" t="n">
        <v>1</v>
      </c>
      <c r="F43" s="16">
        <f>IFERROR(C43*E43,0)</f>
        <v>16</v>
      </c>
      <c r="G43" s="15" t="inlineStr">
        <is>
          <t>Ambiente</t>
        </is>
      </c>
      <c r="H43" s="12" t="inlineStr">
        <is>
          <t>ilimitada</t>
        </is>
      </c>
      <c r="I43" s="15" t="inlineStr">
        <is>
          <t>—</t>
        </is>
      </c>
      <c r="J43" s="15" t="inlineStr">
        <is>
          <t>—</t>
        </is>
      </c>
      <c r="K43" s="18" t="inlineStr"/>
    </row>
    <row r="44">
      <c r="A44" s="11" t="inlineStr">
        <is>
          <t>Baileys</t>
        </is>
      </c>
      <c r="B44" s="12" t="inlineStr">
        <is>
          <t>Garrafa 70 cl</t>
        </is>
      </c>
      <c r="C44" s="13" t="n">
        <v>15</v>
      </c>
      <c r="D44" s="19" t="inlineStr">
        <is>
          <t>EST</t>
        </is>
      </c>
      <c r="E44" s="15" t="n">
        <v>1</v>
      </c>
      <c r="F44" s="16">
        <f>IFERROR(C44*E44,0)</f>
        <v>15</v>
      </c>
      <c r="G44" s="15" t="inlineStr">
        <is>
          <t>Ambiente</t>
        </is>
      </c>
      <c r="H44" s="12" t="inlineStr">
        <is>
          <t>18 meses</t>
        </is>
      </c>
      <c r="I44" s="15" t="inlineStr">
        <is>
          <t>—</t>
        </is>
      </c>
      <c r="J44" s="15" t="inlineStr">
        <is>
          <t>—</t>
        </is>
      </c>
      <c r="K44" s="18" t="inlineStr"/>
    </row>
    <row r="45">
      <c r="A45" s="11" t="inlineStr">
        <is>
          <t>Aguardente velha</t>
        </is>
      </c>
      <c r="B45" s="12" t="inlineStr">
        <is>
          <t>Garrafa 70 cl</t>
        </is>
      </c>
      <c r="C45" s="13" t="n">
        <v>14</v>
      </c>
      <c r="D45" s="19" t="inlineStr">
        <is>
          <t>EST</t>
        </is>
      </c>
      <c r="E45" s="15" t="n">
        <v>1</v>
      </c>
      <c r="F45" s="16">
        <f>IFERROR(C45*E45,0)</f>
        <v>14</v>
      </c>
      <c r="G45" s="15" t="inlineStr">
        <is>
          <t>Ambiente</t>
        </is>
      </c>
      <c r="H45" s="12" t="inlineStr">
        <is>
          <t>ilimitada</t>
        </is>
      </c>
      <c r="I45" s="15" t="inlineStr">
        <is>
          <t>—</t>
        </is>
      </c>
      <c r="J45" s="15" t="inlineStr">
        <is>
          <t>—</t>
        </is>
      </c>
      <c r="K45" s="18" t="inlineStr"/>
    </row>
    <row r="47">
      <c r="A47" s="30" t="inlineStr">
        <is>
          <t>TOTAL</t>
        </is>
      </c>
      <c r="F47" s="31">
        <f>SUM(F6:F45)</f>
        <v>604.5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4" customWidth="1" min="2" max="2"/>
    <col width="15" customWidth="1" min="3" max="3"/>
    <col width="8" customWidth="1" min="4" max="4"/>
    <col width="12" customWidth="1" min="5" max="5"/>
    <col width="14" customWidth="1" min="6" max="6"/>
    <col width="14" customWidth="1" min="7" max="7"/>
    <col width="18" customWidth="1" min="8" max="8"/>
    <col width="15" customWidth="1" min="9" max="9"/>
    <col width="11" customWidth="1" min="10" max="10"/>
    <col width="58" customWidth="1" min="11" max="11"/>
  </cols>
  <sheetData>
    <row r="1">
      <c r="A1" s="8" t="inlineStr">
        <is>
          <t>EMBALAGENS DE DELIVERY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2" t="inlineStr">
        <is>
          <t>Só necessário se o delivery arrancar em simultâneo com o balcão. Recomendo adiar 3-4 semanas.</t>
        </is>
      </c>
    </row>
    <row r="4" ht="32" customHeight="1">
      <c r="A4" s="10" t="inlineStr">
        <is>
          <t>Artigo</t>
        </is>
      </c>
      <c r="B4" s="10" t="inlineStr">
        <is>
          <t>Formato de compra</t>
        </is>
      </c>
      <c r="C4" s="10" t="inlineStr">
        <is>
          <t>Preço/formato (€)</t>
        </is>
      </c>
      <c r="D4" s="10" t="inlineStr">
        <is>
          <t>Fonte</t>
        </is>
      </c>
      <c r="E4" s="10" t="inlineStr">
        <is>
          <t>Qtd a comprar</t>
        </is>
      </c>
      <c r="F4" s="10" t="inlineStr">
        <is>
          <t>Custo total (€)</t>
        </is>
      </c>
      <c r="G4" s="10" t="inlineStr">
        <is>
          <t>Conservação</t>
        </is>
      </c>
      <c r="H4" s="10" t="inlineStr">
        <is>
          <t>Validade</t>
        </is>
      </c>
      <c r="I4" s="10" t="inlineStr">
        <is>
          <t>Consumo/semana</t>
        </is>
      </c>
      <c r="J4" s="10" t="inlineStr">
        <is>
          <t>Risco</t>
        </is>
      </c>
      <c r="K4" s="10" t="inlineStr">
        <is>
          <t>Nota da Chef</t>
        </is>
      </c>
    </row>
    <row r="5">
      <c r="A5" s="3" t="inlineStr">
        <is>
          <t>Embalagens delivery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1" t="inlineStr">
        <is>
          <t>Caixa ventilada para fritos (kraft)</t>
        </is>
      </c>
      <c r="B6" s="12" t="inlineStr">
        <is>
          <t>Pack 300 un</t>
        </is>
      </c>
      <c r="C6" s="13" t="n">
        <v>36</v>
      </c>
      <c r="D6" s="19" t="inlineStr">
        <is>
          <t>EST</t>
        </is>
      </c>
      <c r="E6" s="15" t="n">
        <v>1</v>
      </c>
      <c r="F6" s="16">
        <f>IFERROR(C6*E6,0)</f>
        <v>36</v>
      </c>
      <c r="G6" s="15" t="inlineStr">
        <is>
          <t>Ambiente</t>
        </is>
      </c>
      <c r="H6" s="12" t="inlineStr">
        <is>
          <t>—</t>
        </is>
      </c>
      <c r="I6" s="15" t="inlineStr">
        <is>
          <t>—</t>
        </is>
      </c>
      <c r="J6" s="15" t="inlineStr">
        <is>
          <t>—</t>
        </is>
      </c>
      <c r="K6" s="18" t="inlineStr">
        <is>
          <t>Essencial: sem ventilação os fritos chegam moles. É o que separa 4 estrelas de 2.</t>
        </is>
      </c>
    </row>
    <row r="7">
      <c r="A7" s="11" t="inlineStr">
        <is>
          <t>Caixa compartimentada (tábua)</t>
        </is>
      </c>
      <c r="B7" s="12" t="inlineStr">
        <is>
          <t>Pack 100 un</t>
        </is>
      </c>
      <c r="C7" s="13" t="n">
        <v>35</v>
      </c>
      <c r="D7" s="19" t="inlineStr">
        <is>
          <t>EST</t>
        </is>
      </c>
      <c r="E7" s="15" t="n">
        <v>1</v>
      </c>
      <c r="F7" s="16">
        <f>IFERROR(C7*E7,0)</f>
        <v>35</v>
      </c>
      <c r="G7" s="15" t="inlineStr">
        <is>
          <t>Ambiente</t>
        </is>
      </c>
      <c r="H7" s="12" t="inlineStr">
        <is>
          <t>—</t>
        </is>
      </c>
      <c r="I7" s="15" t="inlineStr">
        <is>
          <t>—</t>
        </is>
      </c>
      <c r="J7" s="15" t="inlineStr">
        <is>
          <t>—</t>
        </is>
      </c>
      <c r="K7" s="18" t="inlineStr"/>
    </row>
    <row r="8">
      <c r="A8" s="11" t="inlineStr">
        <is>
          <t>Menu box para prato feito</t>
        </is>
      </c>
      <c r="B8" s="12" t="inlineStr">
        <is>
          <t>Pack 200 un</t>
        </is>
      </c>
      <c r="C8" s="13" t="n">
        <v>44</v>
      </c>
      <c r="D8" s="19" t="inlineStr">
        <is>
          <t>EST</t>
        </is>
      </c>
      <c r="E8" s="15" t="n">
        <v>1</v>
      </c>
      <c r="F8" s="16">
        <f>IFERROR(C8*E8,0)</f>
        <v>44</v>
      </c>
      <c r="G8" s="15" t="inlineStr">
        <is>
          <t>Ambiente</t>
        </is>
      </c>
      <c r="H8" s="12" t="inlineStr">
        <is>
          <t>—</t>
        </is>
      </c>
      <c r="I8" s="15" t="inlineStr">
        <is>
          <t>—</t>
        </is>
      </c>
      <c r="J8" s="15" t="inlineStr">
        <is>
          <t>—</t>
        </is>
      </c>
      <c r="K8" s="18" t="inlineStr"/>
    </row>
    <row r="9">
      <c r="A9" s="11" t="inlineStr">
        <is>
          <t>Recipiente para molhos 50 ml + tampa</t>
        </is>
      </c>
      <c r="B9" s="12" t="inlineStr">
        <is>
          <t>Pack 500 un</t>
        </is>
      </c>
      <c r="C9" s="13" t="n">
        <v>18</v>
      </c>
      <c r="D9" s="19" t="inlineStr">
        <is>
          <t>EST</t>
        </is>
      </c>
      <c r="E9" s="15" t="n">
        <v>1</v>
      </c>
      <c r="F9" s="16">
        <f>IFERROR(C9*E9,0)</f>
        <v>18</v>
      </c>
      <c r="G9" s="15" t="inlineStr">
        <is>
          <t>Ambiente</t>
        </is>
      </c>
      <c r="H9" s="12" t="inlineStr">
        <is>
          <t>—</t>
        </is>
      </c>
      <c r="I9" s="15" t="inlineStr">
        <is>
          <t>—</t>
        </is>
      </c>
      <c r="J9" s="15" t="inlineStr">
        <is>
          <t>—</t>
        </is>
      </c>
      <c r="K9" s="18" t="inlineStr"/>
    </row>
    <row r="10">
      <c r="A10" s="11" t="inlineStr">
        <is>
          <t>Saco de papel com asa</t>
        </is>
      </c>
      <c r="B10" s="12" t="inlineStr">
        <is>
          <t>Pack 250 un</t>
        </is>
      </c>
      <c r="C10" s="13" t="n">
        <v>22</v>
      </c>
      <c r="D10" s="19" t="inlineStr">
        <is>
          <t>EST</t>
        </is>
      </c>
      <c r="E10" s="15" t="n">
        <v>1</v>
      </c>
      <c r="F10" s="16">
        <f>IFERROR(C10*E10,0)</f>
        <v>22</v>
      </c>
      <c r="G10" s="15" t="inlineStr">
        <is>
          <t>Ambiente</t>
        </is>
      </c>
      <c r="H10" s="12" t="inlineStr">
        <is>
          <t>—</t>
        </is>
      </c>
      <c r="I10" s="15" t="inlineStr">
        <is>
          <t>—</t>
        </is>
      </c>
      <c r="J10" s="15" t="inlineStr">
        <is>
          <t>—</t>
        </is>
      </c>
      <c r="K10" s="18" t="inlineStr"/>
    </row>
    <row r="11">
      <c r="A11" s="11" t="inlineStr">
        <is>
          <t>Talheres de madeira + guardanapo (kit)</t>
        </is>
      </c>
      <c r="B11" s="12" t="inlineStr">
        <is>
          <t>Pack 250 un</t>
        </is>
      </c>
      <c r="C11" s="13" t="n">
        <v>20</v>
      </c>
      <c r="D11" s="19" t="inlineStr">
        <is>
          <t>EST</t>
        </is>
      </c>
      <c r="E11" s="15" t="n">
        <v>1</v>
      </c>
      <c r="F11" s="16">
        <f>IFERROR(C11*E11,0)</f>
        <v>20</v>
      </c>
      <c r="G11" s="15" t="inlineStr">
        <is>
          <t>Ambiente</t>
        </is>
      </c>
      <c r="H11" s="12" t="inlineStr">
        <is>
          <t>—</t>
        </is>
      </c>
      <c r="I11" s="15" t="inlineStr">
        <is>
          <t>—</t>
        </is>
      </c>
      <c r="J11" s="15" t="inlineStr">
        <is>
          <t>—</t>
        </is>
      </c>
      <c r="K11" s="18" t="inlineStr"/>
    </row>
    <row r="12">
      <c r="A12" s="11" t="inlineStr">
        <is>
          <t>Etiqueta de alergénios autocolante</t>
        </is>
      </c>
      <c r="B12" s="12" t="inlineStr">
        <is>
          <t>Rolo 1000 un</t>
        </is>
      </c>
      <c r="C12" s="13" t="n">
        <v>15</v>
      </c>
      <c r="D12" s="19" t="inlineStr">
        <is>
          <t>EST</t>
        </is>
      </c>
      <c r="E12" s="15" t="n">
        <v>1</v>
      </c>
      <c r="F12" s="16">
        <f>IFERROR(C12*E12,0)</f>
        <v>15</v>
      </c>
      <c r="G12" s="15" t="inlineStr">
        <is>
          <t>Ambiente</t>
        </is>
      </c>
      <c r="H12" s="12" t="inlineStr">
        <is>
          <t>—</t>
        </is>
      </c>
      <c r="I12" s="15" t="inlineStr">
        <is>
          <t>—</t>
        </is>
      </c>
      <c r="J12" s="15" t="inlineStr">
        <is>
          <t>—</t>
        </is>
      </c>
      <c r="K12" s="18" t="inlineStr">
        <is>
          <t>OBRIGATÓRIO no delivery: a informação de alergénios tem de acompanhar a encomenda.</t>
        </is>
      </c>
    </row>
    <row r="13">
      <c r="A13" s="11" t="inlineStr">
        <is>
          <t>Selo de segurança (tamper-evident)</t>
        </is>
      </c>
      <c r="B13" s="12" t="inlineStr">
        <is>
          <t>Rolo 1000 un</t>
        </is>
      </c>
      <c r="C13" s="13" t="n">
        <v>12</v>
      </c>
      <c r="D13" s="19" t="inlineStr">
        <is>
          <t>EST</t>
        </is>
      </c>
      <c r="E13" s="15" t="n">
        <v>1</v>
      </c>
      <c r="F13" s="16">
        <f>IFERROR(C13*E13,0)</f>
        <v>12</v>
      </c>
      <c r="G13" s="15" t="inlineStr">
        <is>
          <t>Ambiente</t>
        </is>
      </c>
      <c r="H13" s="12" t="inlineStr">
        <is>
          <t>—</t>
        </is>
      </c>
      <c r="I13" s="15" t="inlineStr">
        <is>
          <t>—</t>
        </is>
      </c>
      <c r="J13" s="15" t="inlineStr">
        <is>
          <t>—</t>
        </is>
      </c>
      <c r="K13" s="18" t="inlineStr">
        <is>
          <t>Exigido pela Uber Eats e Glovo.</t>
        </is>
      </c>
    </row>
    <row r="15">
      <c r="A15" s="30" t="inlineStr">
        <is>
          <t>TOTAL</t>
        </is>
      </c>
      <c r="F15" s="31">
        <f>SUM(F6:F13)</f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4" customWidth="1" min="2" max="2"/>
    <col width="15" customWidth="1" min="3" max="3"/>
    <col width="8" customWidth="1" min="4" max="4"/>
    <col width="12" customWidth="1" min="5" max="5"/>
    <col width="14" customWidth="1" min="6" max="6"/>
    <col width="14" customWidth="1" min="7" max="7"/>
    <col width="18" customWidth="1" min="8" max="8"/>
    <col width="15" customWidth="1" min="9" max="9"/>
    <col width="11" customWidth="1" min="10" max="10"/>
    <col width="58" customWidth="1" min="11" max="11"/>
  </cols>
  <sheetData>
    <row r="1">
      <c r="A1" s="8" t="inlineStr">
        <is>
          <t>CONSUMÍVEIS E HACCP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2" t="inlineStr">
        <is>
          <t>Este bloco não é negociável. Termómetros, registos e etiquetagem são exigência legal, independentemente do volume.</t>
        </is>
      </c>
    </row>
    <row r="4" ht="32" customHeight="1">
      <c r="A4" s="10" t="inlineStr">
        <is>
          <t>Artigo</t>
        </is>
      </c>
      <c r="B4" s="10" t="inlineStr">
        <is>
          <t>Formato de compra</t>
        </is>
      </c>
      <c r="C4" s="10" t="inlineStr">
        <is>
          <t>Preço/formato (€)</t>
        </is>
      </c>
      <c r="D4" s="10" t="inlineStr">
        <is>
          <t>Fonte</t>
        </is>
      </c>
      <c r="E4" s="10" t="inlineStr">
        <is>
          <t>Qtd a comprar</t>
        </is>
      </c>
      <c r="F4" s="10" t="inlineStr">
        <is>
          <t>Custo total (€)</t>
        </is>
      </c>
      <c r="G4" s="10" t="inlineStr">
        <is>
          <t>Conservação</t>
        </is>
      </c>
      <c r="H4" s="10" t="inlineStr">
        <is>
          <t>Validade</t>
        </is>
      </c>
      <c r="I4" s="10" t="inlineStr">
        <is>
          <t>Consumo/semana</t>
        </is>
      </c>
      <c r="J4" s="10" t="inlineStr">
        <is>
          <t>Risco</t>
        </is>
      </c>
      <c r="K4" s="10" t="inlineStr">
        <is>
          <t>Nota da Chef</t>
        </is>
      </c>
    </row>
    <row r="5">
      <c r="A5" s="3" t="inlineStr">
        <is>
          <t>Consumíveis e HACCP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1" t="inlineStr">
        <is>
          <t>Termómetro sonda digital</t>
        </is>
      </c>
      <c r="B6" s="12" t="inlineStr">
        <is>
          <t>Unidade</t>
        </is>
      </c>
      <c r="C6" s="13" t="n">
        <v>35</v>
      </c>
      <c r="D6" s="19" t="inlineStr">
        <is>
          <t>EST</t>
        </is>
      </c>
      <c r="E6" s="15" t="n">
        <v>2</v>
      </c>
      <c r="F6" s="16">
        <f>IFERROR(C6*E6,0)</f>
        <v>70</v>
      </c>
      <c r="G6" s="15" t="inlineStr">
        <is>
          <t>—</t>
        </is>
      </c>
      <c r="H6" s="12" t="inlineStr">
        <is>
          <t>—</t>
        </is>
      </c>
      <c r="I6" s="15" t="inlineStr">
        <is>
          <t>—</t>
        </is>
      </c>
      <c r="J6" s="15" t="inlineStr">
        <is>
          <t>—</t>
        </is>
      </c>
      <c r="K6" s="18" t="inlineStr">
        <is>
          <t>OBRIGATÓRIO. Dois: um de serviço, um de reserva. Sem termómetro não há registo de temperaturas.</t>
        </is>
      </c>
    </row>
    <row r="7">
      <c r="A7" s="11" t="inlineStr">
        <is>
          <t>Termómetro de câmara/frigorífico</t>
        </is>
      </c>
      <c r="B7" s="12" t="inlineStr">
        <is>
          <t>Unidade</t>
        </is>
      </c>
      <c r="C7" s="13" t="n">
        <v>12</v>
      </c>
      <c r="D7" s="19" t="inlineStr">
        <is>
          <t>EST</t>
        </is>
      </c>
      <c r="E7" s="15" t="n">
        <v>3</v>
      </c>
      <c r="F7" s="16">
        <f>IFERROR(C7*E7,0)</f>
        <v>36</v>
      </c>
      <c r="G7" s="15" t="inlineStr">
        <is>
          <t>—</t>
        </is>
      </c>
      <c r="H7" s="12" t="inlineStr">
        <is>
          <t>—</t>
        </is>
      </c>
      <c r="I7" s="15" t="inlineStr">
        <is>
          <t>—</t>
        </is>
      </c>
      <c r="J7" s="15" t="inlineStr">
        <is>
          <t>—</t>
        </is>
      </c>
      <c r="K7" s="18" t="inlineStr">
        <is>
          <t>Um por equipamento de frio.</t>
        </is>
      </c>
    </row>
    <row r="8">
      <c r="A8" s="11" t="inlineStr">
        <is>
          <t>Tiras de teste para óleo de fritura</t>
        </is>
      </c>
      <c r="B8" s="12" t="inlineStr">
        <is>
          <t>Caixa 100</t>
        </is>
      </c>
      <c r="C8" s="13" t="n">
        <v>25</v>
      </c>
      <c r="D8" s="19" t="inlineStr">
        <is>
          <t>EST</t>
        </is>
      </c>
      <c r="E8" s="15" t="n">
        <v>1</v>
      </c>
      <c r="F8" s="16">
        <f>IFERROR(C8*E8,0)</f>
        <v>25</v>
      </c>
      <c r="G8" s="15" t="inlineStr">
        <is>
          <t>Ambiente</t>
        </is>
      </c>
      <c r="H8" s="12" t="inlineStr">
        <is>
          <t>24 meses</t>
        </is>
      </c>
      <c r="I8" s="15" t="inlineStr">
        <is>
          <t>—</t>
        </is>
      </c>
      <c r="J8" s="15" t="inlineStr">
        <is>
          <t>—</t>
        </is>
      </c>
      <c r="K8" s="18" t="inlineStr">
        <is>
          <t>Controlo de compostos polares. A ASAE pergunta por isto.</t>
        </is>
      </c>
    </row>
    <row r="9">
      <c r="A9" s="11" t="inlineStr">
        <is>
          <t>Luvas descartáveis nitrilo</t>
        </is>
      </c>
      <c r="B9" s="12" t="inlineStr">
        <is>
          <t>Caixa 100 × 10</t>
        </is>
      </c>
      <c r="C9" s="13" t="n">
        <v>45</v>
      </c>
      <c r="D9" s="19" t="inlineStr">
        <is>
          <t>EST</t>
        </is>
      </c>
      <c r="E9" s="15" t="n">
        <v>1</v>
      </c>
      <c r="F9" s="16">
        <f>IFERROR(C9*E9,0)</f>
        <v>45</v>
      </c>
      <c r="G9" s="15" t="inlineStr">
        <is>
          <t>Ambiente</t>
        </is>
      </c>
      <c r="H9" s="12" t="inlineStr">
        <is>
          <t>36 meses</t>
        </is>
      </c>
      <c r="I9" s="15" t="inlineStr">
        <is>
          <t>—</t>
        </is>
      </c>
      <c r="J9" s="15" t="inlineStr">
        <is>
          <t>—</t>
        </is>
      </c>
      <c r="K9" s="18" t="inlineStr"/>
    </row>
    <row r="10">
      <c r="A10" s="11" t="inlineStr">
        <is>
          <t>Toucas descartáveis</t>
        </is>
      </c>
      <c r="B10" s="12" t="inlineStr">
        <is>
          <t>Pack 100</t>
        </is>
      </c>
      <c r="C10" s="13" t="n">
        <v>6</v>
      </c>
      <c r="D10" s="19" t="inlineStr">
        <is>
          <t>EST</t>
        </is>
      </c>
      <c r="E10" s="15" t="n">
        <v>2</v>
      </c>
      <c r="F10" s="16">
        <f>IFERROR(C10*E10,0)</f>
        <v>12</v>
      </c>
      <c r="G10" s="15" t="inlineStr">
        <is>
          <t>Ambiente</t>
        </is>
      </c>
      <c r="H10" s="12" t="inlineStr">
        <is>
          <t>—</t>
        </is>
      </c>
      <c r="I10" s="15" t="inlineStr">
        <is>
          <t>—</t>
        </is>
      </c>
      <c r="J10" s="15" t="inlineStr">
        <is>
          <t>—</t>
        </is>
      </c>
      <c r="K10" s="18" t="inlineStr"/>
    </row>
    <row r="11">
      <c r="A11" s="11" t="inlineStr">
        <is>
          <t>Aventais descartáveis</t>
        </is>
      </c>
      <c r="B11" s="12" t="inlineStr">
        <is>
          <t>Pack 100</t>
        </is>
      </c>
      <c r="C11" s="13" t="n">
        <v>9</v>
      </c>
      <c r="D11" s="19" t="inlineStr">
        <is>
          <t>EST</t>
        </is>
      </c>
      <c r="E11" s="15" t="n">
        <v>1</v>
      </c>
      <c r="F11" s="16">
        <f>IFERROR(C11*E11,0)</f>
        <v>9</v>
      </c>
      <c r="G11" s="15" t="inlineStr">
        <is>
          <t>Ambiente</t>
        </is>
      </c>
      <c r="H11" s="12" t="inlineStr">
        <is>
          <t>—</t>
        </is>
      </c>
      <c r="I11" s="15" t="inlineStr">
        <is>
          <t>—</t>
        </is>
      </c>
      <c r="J11" s="15" t="inlineStr">
        <is>
          <t>—</t>
        </is>
      </c>
      <c r="K11" s="18" t="inlineStr"/>
    </row>
    <row r="12">
      <c r="A12" s="11" t="inlineStr">
        <is>
          <t>Filme aderente profissional</t>
        </is>
      </c>
      <c r="B12" s="12" t="inlineStr">
        <is>
          <t>Rolo 300 m</t>
        </is>
      </c>
      <c r="C12" s="13" t="n">
        <v>9</v>
      </c>
      <c r="D12" s="19" t="inlineStr">
        <is>
          <t>EST</t>
        </is>
      </c>
      <c r="E12" s="15" t="n">
        <v>3</v>
      </c>
      <c r="F12" s="16">
        <f>IFERROR(C12*E12,0)</f>
        <v>27</v>
      </c>
      <c r="G12" s="15" t="inlineStr">
        <is>
          <t>Ambiente</t>
        </is>
      </c>
      <c r="H12" s="12" t="inlineStr">
        <is>
          <t>—</t>
        </is>
      </c>
      <c r="I12" s="15" t="inlineStr">
        <is>
          <t>—</t>
        </is>
      </c>
      <c r="J12" s="15" t="inlineStr">
        <is>
          <t>—</t>
        </is>
      </c>
      <c r="K12" s="18" t="inlineStr"/>
    </row>
    <row r="13">
      <c r="A13" s="11" t="inlineStr">
        <is>
          <t>Papel de alumínio profissional</t>
        </is>
      </c>
      <c r="B13" s="12" t="inlineStr">
        <is>
          <t>Rolo 300 m</t>
        </is>
      </c>
      <c r="C13" s="13" t="n">
        <v>14</v>
      </c>
      <c r="D13" s="19" t="inlineStr">
        <is>
          <t>EST</t>
        </is>
      </c>
      <c r="E13" s="15" t="n">
        <v>2</v>
      </c>
      <c r="F13" s="16">
        <f>IFERROR(C13*E13,0)</f>
        <v>28</v>
      </c>
      <c r="G13" s="15" t="inlineStr">
        <is>
          <t>Ambiente</t>
        </is>
      </c>
      <c r="H13" s="12" t="inlineStr">
        <is>
          <t>—</t>
        </is>
      </c>
      <c r="I13" s="15" t="inlineStr">
        <is>
          <t>—</t>
        </is>
      </c>
      <c r="J13" s="15" t="inlineStr">
        <is>
          <t>—</t>
        </is>
      </c>
      <c r="K13" s="18" t="inlineStr"/>
    </row>
    <row r="14">
      <c r="A14" s="11" t="inlineStr">
        <is>
          <t>Sacos de vácuo / congelação</t>
        </is>
      </c>
      <c r="B14" s="12" t="inlineStr">
        <is>
          <t>Pack 500</t>
        </is>
      </c>
      <c r="C14" s="13" t="n">
        <v>20</v>
      </c>
      <c r="D14" s="19" t="inlineStr">
        <is>
          <t>EST</t>
        </is>
      </c>
      <c r="E14" s="15" t="n">
        <v>1</v>
      </c>
      <c r="F14" s="16">
        <f>IFERROR(C14*E14,0)</f>
        <v>20</v>
      </c>
      <c r="G14" s="15" t="inlineStr">
        <is>
          <t>Ambiente</t>
        </is>
      </c>
      <c r="H14" s="12" t="inlineStr">
        <is>
          <t>—</t>
        </is>
      </c>
      <c r="I14" s="15" t="inlineStr">
        <is>
          <t>—</t>
        </is>
      </c>
      <c r="J14" s="15" t="inlineStr">
        <is>
          <t>—</t>
        </is>
      </c>
      <c r="K14" s="18" t="inlineStr">
        <is>
          <t>Essenciais a este volume: porcionar carne e congelar é a única forma de não deitar fora.</t>
        </is>
      </c>
    </row>
    <row r="15">
      <c r="A15" s="11" t="inlineStr">
        <is>
          <t>Etiquetas de rastreabilidade (data de abertura)</t>
        </is>
      </c>
      <c r="B15" s="12" t="inlineStr">
        <is>
          <t>Rolo 1000</t>
        </is>
      </c>
      <c r="C15" s="13" t="n">
        <v>12</v>
      </c>
      <c r="D15" s="19" t="inlineStr">
        <is>
          <t>EST</t>
        </is>
      </c>
      <c r="E15" s="15" t="n">
        <v>2</v>
      </c>
      <c r="F15" s="16">
        <f>IFERROR(C15*E15,0)</f>
        <v>24</v>
      </c>
      <c r="G15" s="15" t="inlineStr">
        <is>
          <t>Ambiente</t>
        </is>
      </c>
      <c r="H15" s="12" t="inlineStr">
        <is>
          <t>—</t>
        </is>
      </c>
      <c r="I15" s="15" t="inlineStr">
        <is>
          <t>—</t>
        </is>
      </c>
      <c r="J15" s="15" t="inlineStr">
        <is>
          <t>—</t>
        </is>
      </c>
      <c r="K15" s="18" t="inlineStr">
        <is>
          <t>OBRIGATÓRIO HACCP: todo o produto aberto ou descongelado tem de ser datado.</t>
        </is>
      </c>
    </row>
    <row r="16">
      <c r="A16" s="11" t="inlineStr">
        <is>
          <t>Caixas GN de armazenamento + tampas</t>
        </is>
      </c>
      <c r="B16" s="12" t="inlineStr">
        <is>
          <t>Conjunto 12</t>
        </is>
      </c>
      <c r="C16" s="13" t="n">
        <v>75</v>
      </c>
      <c r="D16" s="19" t="inlineStr">
        <is>
          <t>EST</t>
        </is>
      </c>
      <c r="E16" s="15" t="n">
        <v>1</v>
      </c>
      <c r="F16" s="16">
        <f>IFERROR(C16*E16,0)</f>
        <v>75</v>
      </c>
      <c r="G16" s="15" t="inlineStr">
        <is>
          <t>—</t>
        </is>
      </c>
      <c r="H16" s="12" t="inlineStr">
        <is>
          <t>—</t>
        </is>
      </c>
      <c r="I16" s="15" t="inlineStr">
        <is>
          <t>—</t>
        </is>
      </c>
      <c r="J16" s="15" t="inlineStr">
        <is>
          <t>—</t>
        </is>
      </c>
      <c r="K16" s="18" t="inlineStr"/>
    </row>
    <row r="17">
      <c r="A17" s="11" t="inlineStr">
        <is>
          <t>Desengordurante profissional</t>
        </is>
      </c>
      <c r="B17" s="12" t="inlineStr">
        <is>
          <t>Garrafão 5 L</t>
        </is>
      </c>
      <c r="C17" s="13" t="n">
        <v>14</v>
      </c>
      <c r="D17" s="19" t="inlineStr">
        <is>
          <t>EST</t>
        </is>
      </c>
      <c r="E17" s="15" t="n">
        <v>1</v>
      </c>
      <c r="F17" s="16">
        <f>IFERROR(C17*E17,0)</f>
        <v>14</v>
      </c>
      <c r="G17" s="15" t="inlineStr">
        <is>
          <t>Ambiente</t>
        </is>
      </c>
      <c r="H17" s="12" t="inlineStr">
        <is>
          <t>24 meses</t>
        </is>
      </c>
      <c r="I17" s="15" t="inlineStr">
        <is>
          <t>—</t>
        </is>
      </c>
      <c r="J17" s="15" t="inlineStr">
        <is>
          <t>—</t>
        </is>
      </c>
      <c r="K17" s="18" t="inlineStr"/>
    </row>
    <row r="18">
      <c r="A18" s="11" t="inlineStr">
        <is>
          <t>Desinfectante de superfícies alimentar</t>
        </is>
      </c>
      <c r="B18" s="12" t="inlineStr">
        <is>
          <t>Garrafão 5 L</t>
        </is>
      </c>
      <c r="C18" s="13" t="n">
        <v>16</v>
      </c>
      <c r="D18" s="19" t="inlineStr">
        <is>
          <t>EST</t>
        </is>
      </c>
      <c r="E18" s="15" t="n">
        <v>1</v>
      </c>
      <c r="F18" s="16">
        <f>IFERROR(C18*E18,0)</f>
        <v>16</v>
      </c>
      <c r="G18" s="15" t="inlineStr">
        <is>
          <t>Ambiente</t>
        </is>
      </c>
      <c r="H18" s="12" t="inlineStr">
        <is>
          <t>24 meses</t>
        </is>
      </c>
      <c r="I18" s="15" t="inlineStr">
        <is>
          <t>—</t>
        </is>
      </c>
      <c r="J18" s="15" t="inlineStr">
        <is>
          <t>—</t>
        </is>
      </c>
      <c r="K18" s="18" t="inlineStr"/>
    </row>
    <row r="19">
      <c r="A19" s="11" t="inlineStr">
        <is>
          <t>Detergente de loiça profissional</t>
        </is>
      </c>
      <c r="B19" s="12" t="inlineStr">
        <is>
          <t>Garrafão 5 L</t>
        </is>
      </c>
      <c r="C19" s="13" t="n">
        <v>12</v>
      </c>
      <c r="D19" s="19" t="inlineStr">
        <is>
          <t>EST</t>
        </is>
      </c>
      <c r="E19" s="15" t="n">
        <v>1</v>
      </c>
      <c r="F19" s="16">
        <f>IFERROR(C19*E19,0)</f>
        <v>12</v>
      </c>
      <c r="G19" s="15" t="inlineStr">
        <is>
          <t>Ambiente</t>
        </is>
      </c>
      <c r="H19" s="12" t="inlineStr">
        <is>
          <t>24 meses</t>
        </is>
      </c>
      <c r="I19" s="15" t="inlineStr">
        <is>
          <t>—</t>
        </is>
      </c>
      <c r="J19" s="15" t="inlineStr">
        <is>
          <t>—</t>
        </is>
      </c>
      <c r="K19" s="18" t="inlineStr"/>
    </row>
    <row r="20">
      <c r="A20" s="11" t="inlineStr">
        <is>
          <t>Panos de limpeza por cor (código HACCP)</t>
        </is>
      </c>
      <c r="B20" s="12" t="inlineStr">
        <is>
          <t>Pack 50</t>
        </is>
      </c>
      <c r="C20" s="13" t="n">
        <v>18</v>
      </c>
      <c r="D20" s="19" t="inlineStr">
        <is>
          <t>EST</t>
        </is>
      </c>
      <c r="E20" s="15" t="n">
        <v>1</v>
      </c>
      <c r="F20" s="16">
        <f>IFERROR(C20*E20,0)</f>
        <v>18</v>
      </c>
      <c r="G20" s="15" t="inlineStr">
        <is>
          <t>Ambiente</t>
        </is>
      </c>
      <c r="H20" s="12" t="inlineStr">
        <is>
          <t>—</t>
        </is>
      </c>
      <c r="I20" s="15" t="inlineStr">
        <is>
          <t>—</t>
        </is>
      </c>
      <c r="J20" s="15" t="inlineStr">
        <is>
          <t>—</t>
        </is>
      </c>
      <c r="K20" s="18" t="inlineStr">
        <is>
          <t>Código de cores evita contaminação cruzada entre zonas.</t>
        </is>
      </c>
    </row>
    <row r="21">
      <c r="A21" s="11" t="inlineStr">
        <is>
          <t>Papel de cozinha industrial</t>
        </is>
      </c>
      <c r="B21" s="12" t="inlineStr">
        <is>
          <t>Pack 6 rolos</t>
        </is>
      </c>
      <c r="C21" s="13" t="n">
        <v>12</v>
      </c>
      <c r="D21" s="19" t="inlineStr">
        <is>
          <t>EST</t>
        </is>
      </c>
      <c r="E21" s="15" t="n">
        <v>2</v>
      </c>
      <c r="F21" s="16">
        <f>IFERROR(C21*E21,0)</f>
        <v>24</v>
      </c>
      <c r="G21" s="15" t="inlineStr">
        <is>
          <t>Ambiente</t>
        </is>
      </c>
      <c r="H21" s="12" t="inlineStr">
        <is>
          <t>—</t>
        </is>
      </c>
      <c r="I21" s="15" t="inlineStr">
        <is>
          <t>—</t>
        </is>
      </c>
      <c r="J21" s="15" t="inlineStr">
        <is>
          <t>—</t>
        </is>
      </c>
      <c r="K21" s="18" t="inlineStr"/>
    </row>
    <row r="22">
      <c r="A22" s="11" t="inlineStr">
        <is>
          <t>Sacos de lixo industriais</t>
        </is>
      </c>
      <c r="B22" s="12" t="inlineStr">
        <is>
          <t>Pack 200</t>
        </is>
      </c>
      <c r="C22" s="13" t="n">
        <v>15</v>
      </c>
      <c r="D22" s="19" t="inlineStr">
        <is>
          <t>EST</t>
        </is>
      </c>
      <c r="E22" s="15" t="n">
        <v>1</v>
      </c>
      <c r="F22" s="16">
        <f>IFERROR(C22*E22,0)</f>
        <v>15</v>
      </c>
      <c r="G22" s="15" t="inlineStr">
        <is>
          <t>Ambiente</t>
        </is>
      </c>
      <c r="H22" s="12" t="inlineStr">
        <is>
          <t>—</t>
        </is>
      </c>
      <c r="I22" s="15" t="inlineStr">
        <is>
          <t>—</t>
        </is>
      </c>
      <c r="J22" s="15" t="inlineStr">
        <is>
          <t>—</t>
        </is>
      </c>
      <c r="K22" s="18" t="inlineStr"/>
    </row>
    <row r="23">
      <c r="A23" s="11" t="inlineStr">
        <is>
          <t>Caixa de primeiros socorros</t>
        </is>
      </c>
      <c r="B23" s="12" t="inlineStr">
        <is>
          <t>Unidade</t>
        </is>
      </c>
      <c r="C23" s="13" t="n">
        <v>30</v>
      </c>
      <c r="D23" s="19" t="inlineStr">
        <is>
          <t>EST</t>
        </is>
      </c>
      <c r="E23" s="15" t="n">
        <v>1</v>
      </c>
      <c r="F23" s="16">
        <f>IFERROR(C23*E23,0)</f>
        <v>30</v>
      </c>
      <c r="G23" s="15" t="inlineStr">
        <is>
          <t>—</t>
        </is>
      </c>
      <c r="H23" s="12" t="inlineStr">
        <is>
          <t>—</t>
        </is>
      </c>
      <c r="I23" s="15" t="inlineStr">
        <is>
          <t>—</t>
        </is>
      </c>
      <c r="J23" s="15" t="inlineStr">
        <is>
          <t>—</t>
        </is>
      </c>
      <c r="K23" s="18" t="inlineStr">
        <is>
          <t>Obrigatório.</t>
        </is>
      </c>
    </row>
    <row r="24">
      <c r="A24" s="11" t="inlineStr">
        <is>
          <t>Dossier de registos HACCP (impressos)</t>
        </is>
      </c>
      <c r="B24" s="12" t="inlineStr">
        <is>
          <t>Conjunto</t>
        </is>
      </c>
      <c r="C24" s="13" t="n">
        <v>25</v>
      </c>
      <c r="D24" s="19" t="inlineStr">
        <is>
          <t>EST</t>
        </is>
      </c>
      <c r="E24" s="15" t="n">
        <v>1</v>
      </c>
      <c r="F24" s="16">
        <f>IFERROR(C24*E24,0)</f>
        <v>25</v>
      </c>
      <c r="G24" s="15" t="inlineStr">
        <is>
          <t>—</t>
        </is>
      </c>
      <c r="H24" s="12" t="inlineStr">
        <is>
          <t>—</t>
        </is>
      </c>
      <c r="I24" s="15" t="inlineStr">
        <is>
          <t>—</t>
        </is>
      </c>
      <c r="J24" s="15" t="inlineStr">
        <is>
          <t>—</t>
        </is>
      </c>
      <c r="K24" s="18" t="inlineStr">
        <is>
          <t>Registos de temperatura, limpeza, recepção de mercadoria e óleo. Pode ser digital, mas tem de existir.</t>
        </is>
      </c>
    </row>
    <row r="26">
      <c r="A26" s="30" t="inlineStr">
        <is>
          <t>TOTAL</t>
        </is>
      </c>
      <c r="F26" s="31">
        <f>SUM(F6:F24)</f>
        <v>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66" customWidth="1" min="5" max="5"/>
  </cols>
  <sheetData>
    <row r="1">
      <c r="A1" s="8" t="inlineStr">
        <is>
          <t>⚠️ A CARTA NÃO CABE NESTE VOLUME</t>
        </is>
      </c>
      <c r="B1" s="9" t="n"/>
      <c r="C1" s="9" t="n"/>
      <c r="D1" s="9" t="n"/>
      <c r="E1" s="9" t="n"/>
    </row>
    <row r="2">
      <c r="A2" s="2" t="inlineStr">
        <is>
          <t>O que 10 clientes/dia significam na prática para a cozinha. Isto não é opinião — é o que sai das contas.</t>
        </is>
      </c>
    </row>
    <row r="4">
      <c r="A4" s="3" t="inlineStr">
        <is>
          <t>QUANTO VENDE CADA PRATO POR SEMANA</t>
        </is>
      </c>
      <c r="B4" s="4" t="n"/>
      <c r="C4" s="4" t="n"/>
      <c r="D4" s="4" t="n"/>
      <c r="E4" s="4" t="n"/>
    </row>
    <row r="5" ht="28" customHeight="1">
      <c r="A5" s="10" t="inlineStr">
        <is>
          <t>Prato</t>
        </is>
      </c>
      <c r="B5" s="10" t="inlineStr">
        <is>
          <t>Doses/semana</t>
        </is>
      </c>
      <c r="C5" s="10" t="inlineStr">
        <is>
          <t>Doses/dia</t>
        </is>
      </c>
      <c r="D5" s="10" t="inlineStr">
        <is>
          <t>Nível</t>
        </is>
      </c>
      <c r="E5" s="10" t="inlineStr">
        <is>
          <t>O que isto quer dizer na cozinha</t>
        </is>
      </c>
    </row>
    <row r="6">
      <c r="A6" s="38" t="inlineStr">
        <is>
          <t>Coxinha de Frango</t>
        </is>
      </c>
      <c r="B6" s="17" t="n">
        <v>2.5</v>
      </c>
      <c r="C6" s="17" t="n">
        <v>0.42</v>
      </c>
      <c r="D6" s="17" t="inlineStr">
        <is>
          <t>OK</t>
        </is>
      </c>
      <c r="E6" s="39" t="inlineStr">
        <is>
          <t>O mais vendido. Congelado, sai da arca à unidade. Sem problema.</t>
        </is>
      </c>
    </row>
    <row r="7">
      <c r="A7" s="38" t="inlineStr">
        <is>
          <t>Pastéis de Bacalhau</t>
        </is>
      </c>
      <c r="B7" s="17" t="n">
        <v>2.3</v>
      </c>
      <c r="C7" s="17" t="n">
        <v>0.39</v>
      </c>
      <c r="D7" s="17" t="inlineStr">
        <is>
          <t>OK</t>
        </is>
      </c>
      <c r="E7" s="39" t="inlineStr">
        <is>
          <t>Congelado. Sem problema.</t>
        </is>
      </c>
    </row>
    <row r="8">
      <c r="A8" s="38" t="inlineStr">
        <is>
          <t>Batatas c/ Cheddar e Bacon</t>
        </is>
      </c>
      <c r="B8" s="17" t="n">
        <v>2.2</v>
      </c>
      <c r="C8" s="17" t="n">
        <v>0.36</v>
      </c>
      <c r="D8" s="17" t="inlineStr">
        <is>
          <t>OK</t>
        </is>
      </c>
      <c r="E8" s="39" t="inlineStr">
        <is>
          <t>Batata e cheddar aguentam. Sem problema.</t>
        </is>
      </c>
    </row>
    <row r="9">
      <c r="A9" s="38" t="inlineStr">
        <is>
          <t>Rissóis de Gambas</t>
        </is>
      </c>
      <c r="B9" s="17" t="n">
        <v>2</v>
      </c>
      <c r="C9" s="17" t="n">
        <v>0.33</v>
      </c>
      <c r="D9" s="17" t="inlineStr">
        <is>
          <t>OK</t>
        </is>
      </c>
      <c r="E9" s="39" t="inlineStr">
        <is>
          <t>Congelado. Sem problema.</t>
        </is>
      </c>
    </row>
    <row r="10">
      <c r="A10" s="38" t="inlineStr">
        <is>
          <t>Pastéis de Vento</t>
        </is>
      </c>
      <c r="B10" s="17" t="n">
        <v>1.7</v>
      </c>
      <c r="C10" s="17" t="n">
        <v>0.28</v>
      </c>
      <c r="D10" s="17" t="inlineStr">
        <is>
          <t>OK</t>
        </is>
      </c>
      <c r="E10" s="39" t="inlineStr">
        <is>
          <t>Congelado. Sem problema.</t>
        </is>
      </c>
    </row>
    <row r="11">
      <c r="A11" s="23" t="inlineStr">
        <is>
          <t>Tábua da Casa</t>
        </is>
      </c>
      <c r="B11" s="21" t="n">
        <v>1.5</v>
      </c>
      <c r="C11" s="21" t="n">
        <v>0.25</v>
      </c>
      <c r="D11" s="21" t="inlineStr">
        <is>
          <t>CRÍTICO</t>
        </is>
      </c>
      <c r="E11" s="28" t="inlineStr">
        <is>
          <t>Uma tábua e meia por semana com Queijo da Serra e Azeitão abertos. O Azeitão seca e fica impróprio muito antes de a peça acabar. É o pior prato da carta a este volume.</t>
        </is>
      </c>
    </row>
    <row r="12">
      <c r="A12" s="38" t="inlineStr">
        <is>
          <t>Bolinhas de Mandioca</t>
        </is>
      </c>
      <c r="B12" s="17" t="n">
        <v>1.5</v>
      </c>
      <c r="C12" s="17" t="n">
        <v>0.25</v>
      </c>
      <c r="D12" s="17" t="inlineStr">
        <is>
          <t>OK</t>
        </is>
      </c>
      <c r="E12" s="39" t="inlineStr">
        <is>
          <t>Congelado. Sem problema.</t>
        </is>
      </c>
    </row>
    <row r="13">
      <c r="A13" s="40" t="inlineStr">
        <is>
          <t>Pica-Pau</t>
        </is>
      </c>
      <c r="B13" s="20" t="n">
        <v>1.5</v>
      </c>
      <c r="C13" s="20" t="n">
        <v>0.25</v>
      </c>
      <c r="D13" s="20" t="inlineStr">
        <is>
          <t>ALTO</t>
        </is>
      </c>
      <c r="E13" s="41" t="inlineStr">
        <is>
          <t>Lombo fresco para 1,5 doses/semana. Só viável comprando pequeno e congelando em porções.</t>
        </is>
      </c>
    </row>
    <row r="14">
      <c r="A14" s="38" t="inlineStr">
        <is>
          <t>Bolinhas de Feijoada</t>
        </is>
      </c>
      <c r="B14" s="17" t="n">
        <v>1.3</v>
      </c>
      <c r="C14" s="17" t="n">
        <v>0.22</v>
      </c>
      <c r="D14" s="17" t="inlineStr">
        <is>
          <t>OK</t>
        </is>
      </c>
      <c r="E14" s="39" t="inlineStr">
        <is>
          <t>Congelado. Sem problema.</t>
        </is>
      </c>
    </row>
    <row r="15">
      <c r="A15" s="40" t="inlineStr">
        <is>
          <t>Moelas Estufadas</t>
        </is>
      </c>
      <c r="B15" s="20" t="n">
        <v>1.3</v>
      </c>
      <c r="C15" s="20" t="n">
        <v>0.22</v>
      </c>
      <c r="D15" s="20" t="inlineStr">
        <is>
          <t>ALTO</t>
        </is>
      </c>
      <c r="E15" s="41" t="inlineStr">
        <is>
          <t>Moelas frescas duram 2 dias. Solução: estufar em lote e congelar em doses. Dá trabalho, mas salva o prato.</t>
        </is>
      </c>
    </row>
    <row r="16">
      <c r="A16" s="23" t="inlineStr">
        <is>
          <t>Calabresa Acebolada</t>
        </is>
      </c>
      <c r="B16" s="21" t="n">
        <v>1.3</v>
      </c>
      <c r="C16" s="21" t="n">
        <v>0.22</v>
      </c>
      <c r="D16" s="21" t="inlineStr">
        <is>
          <t>BLOQUEADO</t>
        </is>
      </c>
      <c r="E16" s="28" t="inlineStr">
        <is>
          <t>Continua sem alergénio confirmado. Nem sequer devia estar na carta ainda.</t>
        </is>
      </c>
    </row>
    <row r="17">
      <c r="A17" s="38" t="inlineStr">
        <is>
          <t>Bitoque da Casa</t>
        </is>
      </c>
      <c r="B17" s="17" t="n">
        <v>8</v>
      </c>
      <c r="C17" s="17" t="n">
        <v>1.33</v>
      </c>
      <c r="D17" s="17" t="inlineStr">
        <is>
          <t>OK</t>
        </is>
      </c>
      <c r="E17" s="39" t="inlineStr">
        <is>
          <t>O prato mais vendido do almoço. Justifica bife fresco duas vezes por semana.</t>
        </is>
      </c>
    </row>
    <row r="18">
      <c r="A18" s="40" t="inlineStr">
        <is>
          <t>Bife Acebolado (PF)</t>
        </is>
      </c>
      <c r="B18" s="20" t="n">
        <v>1.1</v>
      </c>
      <c r="C18" s="20" t="n">
        <v>0.18</v>
      </c>
      <c r="D18" s="20" t="inlineStr">
        <is>
          <t>ALTO</t>
        </is>
      </c>
      <c r="E18" s="41" t="inlineStr">
        <is>
          <t>Uma dose por semana. Congelar porcionado.</t>
        </is>
      </c>
    </row>
    <row r="19">
      <c r="A19" s="40" t="inlineStr">
        <is>
          <t>Frango Grelhado (PF)</t>
        </is>
      </c>
      <c r="B19" s="20" t="n">
        <v>1.1</v>
      </c>
      <c r="C19" s="20" t="n">
        <v>0.18</v>
      </c>
      <c r="D19" s="20" t="inlineStr">
        <is>
          <t>ALTO</t>
        </is>
      </c>
      <c r="E19" s="41" t="inlineStr">
        <is>
          <t>Uma dose por semana. Congelar porcionado.</t>
        </is>
      </c>
    </row>
    <row r="20">
      <c r="A20" s="40" t="inlineStr">
        <is>
          <t>Porco à Moda do Chef (PF)</t>
        </is>
      </c>
      <c r="B20" s="20" t="n">
        <v>1.1</v>
      </c>
      <c r="C20" s="20" t="n">
        <v>0.18</v>
      </c>
      <c r="D20" s="20" t="inlineStr">
        <is>
          <t>ALTO</t>
        </is>
      </c>
      <c r="E20" s="41" t="inlineStr">
        <is>
          <t>Uma dose por semana. Congelar porcionado.</t>
        </is>
      </c>
    </row>
    <row r="21">
      <c r="A21" s="38" t="inlineStr">
        <is>
          <t>Bacalhau à Brás (PF)</t>
        </is>
      </c>
      <c r="B21" s="17" t="n">
        <v>1.1</v>
      </c>
      <c r="C21" s="17" t="n">
        <v>0.18</v>
      </c>
      <c r="D21" s="17" t="inlineStr">
        <is>
          <t>OK</t>
        </is>
      </c>
      <c r="E21" s="39" t="inlineStr">
        <is>
          <t>Bacalhau congelado — este aguenta.</t>
        </is>
      </c>
    </row>
    <row r="22">
      <c r="A22" s="38" t="inlineStr">
        <is>
          <t>Carne de Sol c/ Mandioca (PF)</t>
        </is>
      </c>
      <c r="B22" s="17" t="n">
        <v>1.1</v>
      </c>
      <c r="C22" s="17" t="n">
        <v>0.18</v>
      </c>
      <c r="D22" s="17" t="inlineStr">
        <is>
          <t>OK</t>
        </is>
      </c>
      <c r="E22" s="39" t="inlineStr">
        <is>
          <t>Carne salgada aguenta 3 semanas. Este também passa.</t>
        </is>
      </c>
    </row>
    <row r="23">
      <c r="A23" s="23" t="inlineStr">
        <is>
          <t>Peixe do Dia (PF)</t>
        </is>
      </c>
      <c r="B23" s="21" t="n">
        <v>1.1</v>
      </c>
      <c r="C23" s="21" t="n">
        <v>0.18</v>
      </c>
      <c r="D23" s="21" t="inlineStr">
        <is>
          <t>CRÍTICO</t>
        </is>
      </c>
      <c r="E23" s="28" t="inlineStr">
        <is>
          <t>Peixe fresco de mercado para uma dose por semana. Isto é impossível de gerir sem deitar fora. Tem de sair da carta ou passar a especial de fim de semana comprado à peça.</t>
        </is>
      </c>
    </row>
    <row r="25">
      <c r="A25" s="3" t="inlineStr">
        <is>
          <t>OS 23 ARTIGOS QUE CADUCAM ANTES DE ESCOAR</t>
        </is>
      </c>
      <c r="B25" s="4" t="n"/>
      <c r="C25" s="4" t="n"/>
      <c r="D25" s="4" t="n"/>
      <c r="E25" s="4" t="n"/>
    </row>
    <row r="26" ht="28" customHeight="1">
      <c r="A26" s="10" t="inlineStr">
        <is>
          <t>Artigo</t>
        </is>
      </c>
      <c r="B26" s="10" t="inlineStr">
        <is>
          <t>Formato dura</t>
        </is>
      </c>
      <c r="C26" s="10" t="inlineStr">
        <is>
          <t>Validade</t>
        </is>
      </c>
      <c r="D26" s="10" t="inlineStr">
        <is>
          <t>Risco</t>
        </is>
      </c>
      <c r="E26" s="10" t="inlineStr">
        <is>
          <t>Nota</t>
        </is>
      </c>
    </row>
    <row r="27">
      <c r="A27" s="23" t="inlineStr">
        <is>
          <t>Broa de milho</t>
        </is>
      </c>
      <c r="B27" s="21" t="inlineStr">
        <is>
          <t>3.3 sem</t>
        </is>
      </c>
      <c r="C27" s="21" t="inlineStr">
        <is>
          <t>0.7 sem</t>
        </is>
      </c>
      <c r="D27" s="21" t="inlineStr">
        <is>
          <t>CRÍTICO</t>
        </is>
      </c>
      <c r="E27" s="28" t="inlineStr">
        <is>
          <t>Comprar 1 broa de cada vez, 2x/semana. Não faz sentido stock.</t>
        </is>
      </c>
    </row>
    <row r="28">
      <c r="A28" s="23" t="inlineStr">
        <is>
          <t>Entremeada de porco</t>
        </is>
      </c>
      <c r="B28" s="21" t="inlineStr">
        <is>
          <t>4.0 sem</t>
        </is>
      </c>
      <c r="C28" s="21" t="inlineStr">
        <is>
          <t>0.4 sem</t>
        </is>
      </c>
      <c r="D28" s="21" t="inlineStr">
        <is>
          <t>CRÍTICO</t>
        </is>
      </c>
      <c r="E28" s="28" t="inlineStr">
        <is>
          <t>Idem — porcionar e congelar à chegada.</t>
        </is>
      </c>
    </row>
    <row r="29">
      <c r="A29" s="23" t="inlineStr">
        <is>
          <t>Lombo de porco (Pica-Pau)</t>
        </is>
      </c>
      <c r="B29" s="21" t="inlineStr">
        <is>
          <t>4.0 sem</t>
        </is>
      </c>
      <c r="C29" s="21" t="inlineStr">
        <is>
          <t>0.4 sem</t>
        </is>
      </c>
      <c r="D29" s="21" t="inlineStr">
        <is>
          <t>CRÍTICO</t>
        </is>
      </c>
      <c r="E29" s="28" t="inlineStr">
        <is>
          <t>Idem — porcionar e congelar à chegada.</t>
        </is>
      </c>
    </row>
    <row r="30">
      <c r="A30" s="23" t="inlineStr">
        <is>
          <t>Moelas de frango</t>
        </is>
      </c>
      <c r="B30" s="21" t="inlineStr">
        <is>
          <t>1.8 sem</t>
        </is>
      </c>
      <c r="C30" s="21" t="inlineStr">
        <is>
          <t>0.3 sem</t>
        </is>
      </c>
      <c r="D30" s="21" t="inlineStr">
        <is>
          <t>CRÍTICO</t>
        </is>
      </c>
      <c r="E30" s="28" t="inlineStr">
        <is>
          <t>Estufar tudo de uma vez e congelar em doses. O estufado congela bem.</t>
        </is>
      </c>
    </row>
    <row r="31">
      <c r="A31" s="23" t="inlineStr">
        <is>
          <t>Peito de frango</t>
        </is>
      </c>
      <c r="B31" s="21" t="inlineStr">
        <is>
          <t>4.0 sem</t>
        </is>
      </c>
      <c r="C31" s="21" t="inlineStr">
        <is>
          <t>0.4 sem</t>
        </is>
      </c>
      <c r="D31" s="21" t="inlineStr">
        <is>
          <t>CRÍTICO</t>
        </is>
      </c>
      <c r="E31" s="28" t="inlineStr">
        <is>
          <t>Comprar 1 kg e porcionar em doses individuais congeladas no próprio dia. É a única forma.</t>
        </is>
      </c>
    </row>
    <row r="32">
      <c r="A32" s="23" t="inlineStr">
        <is>
          <t>Queijo de Azeitão</t>
        </is>
      </c>
      <c r="B32" s="21" t="inlineStr">
        <is>
          <t>11.1 sem</t>
        </is>
      </c>
      <c r="C32" s="21" t="inlineStr">
        <is>
          <t>3.0 sem</t>
        </is>
      </c>
      <c r="D32" s="21" t="inlineStr">
        <is>
          <t>CRÍTICO</t>
        </is>
      </c>
      <c r="E32" s="28" t="inlineStr">
        <is>
          <t>Peça de 250 g para 11 semanas de consumo, com 3 semanas de validade. Comprar meia peça e assumir que se compra fresco de cada vez.</t>
        </is>
      </c>
    </row>
    <row r="33">
      <c r="A33" s="40" t="inlineStr">
        <is>
          <t>Alface / mistura de salada</t>
        </is>
      </c>
      <c r="B33" s="20" t="inlineStr">
        <is>
          <t>1.0 sem</t>
        </is>
      </c>
      <c r="C33" s="20" t="inlineStr">
        <is>
          <t>0.6 sem</t>
        </is>
      </c>
      <c r="D33" s="20" t="inlineStr">
        <is>
          <t>ALTO</t>
        </is>
      </c>
      <c r="E33" s="41" t="inlineStr">
        <is>
          <t>Comprar o formato mais pequeno que houver e rodar à chegada.</t>
        </is>
      </c>
    </row>
    <row r="34">
      <c r="A34" s="40" t="inlineStr">
        <is>
          <t>Carne de sol</t>
        </is>
      </c>
      <c r="B34" s="20" t="inlineStr">
        <is>
          <t>4.5 sem</t>
        </is>
      </c>
      <c r="C34" s="20" t="inlineStr">
        <is>
          <t>3.0 sem</t>
        </is>
      </c>
      <c r="D34" s="20" t="inlineStr">
        <is>
          <t>ALTO</t>
        </is>
      </c>
      <c r="E34" s="41" t="inlineStr">
        <is>
          <t>Salgada aguenta 3 semanas — este é dos poucos que passa com folga.</t>
        </is>
      </c>
    </row>
    <row r="35">
      <c r="A35" s="40" t="inlineStr">
        <is>
          <t>Fiambre fatiado</t>
        </is>
      </c>
      <c r="B35" s="20" t="inlineStr">
        <is>
          <t>5.0 sem</t>
        </is>
      </c>
      <c r="C35" s="20" t="inlineStr">
        <is>
          <t>2.0 sem</t>
        </is>
      </c>
      <c r="D35" s="20" t="inlineStr">
        <is>
          <t>ALTO</t>
        </is>
      </c>
      <c r="E35" s="41" t="inlineStr">
        <is>
          <t>Comprar 500 g em vez de 1 kg.</t>
        </is>
      </c>
    </row>
    <row r="36">
      <c r="A36" s="40" t="inlineStr">
        <is>
          <t>Hortelã</t>
        </is>
      </c>
      <c r="B36" s="20" t="inlineStr">
        <is>
          <t>1.0 sem</t>
        </is>
      </c>
      <c r="C36" s="20" t="inlineStr">
        <is>
          <t>0.6 sem</t>
        </is>
      </c>
      <c r="D36" s="20" t="inlineStr">
        <is>
          <t>ALTO</t>
        </is>
      </c>
      <c r="E36" s="41" t="inlineStr">
        <is>
          <t>Comprar o formato mais pequeno que houver e rodar à chegada.</t>
        </is>
      </c>
    </row>
    <row r="37">
      <c r="A37" s="40" t="inlineStr">
        <is>
          <t>Presunto fatiado</t>
        </is>
      </c>
      <c r="B37" s="20" t="inlineStr">
        <is>
          <t>11.1 sem</t>
        </is>
      </c>
      <c r="C37" s="20" t="inlineStr">
        <is>
          <t>4.3 sem</t>
        </is>
      </c>
      <c r="D37" s="20" t="inlineStr">
        <is>
          <t>ALTO</t>
        </is>
      </c>
      <c r="E37" s="41" t="inlineStr">
        <is>
          <t>Embalagem de 500 g dura 11 semanas de consumo. Pedir fatiado no dia ou comprar 250 g.</t>
        </is>
      </c>
    </row>
    <row r="38">
      <c r="A38" s="40" t="inlineStr">
        <is>
          <t>Pão de forma</t>
        </is>
      </c>
      <c r="B38" s="20" t="inlineStr">
        <is>
          <t>2.3 sem</t>
        </is>
      </c>
      <c r="C38" s="20" t="inlineStr">
        <is>
          <t>1.0 sem</t>
        </is>
      </c>
      <c r="D38" s="20" t="inlineStr">
        <is>
          <t>ALTO</t>
        </is>
      </c>
      <c r="E38" s="41" t="inlineStr">
        <is>
          <t>Comprar o formato mais pequeno que houver e rodar à chegada.</t>
        </is>
      </c>
    </row>
    <row r="39">
      <c r="A39" s="40" t="inlineStr">
        <is>
          <t>Queijo da Serra (meia cura)</t>
        </is>
      </c>
      <c r="B39" s="20" t="inlineStr">
        <is>
          <t>8.3 sem</t>
        </is>
      </c>
      <c r="C39" s="20" t="inlineStr">
        <is>
          <t>4.3 sem</t>
        </is>
      </c>
      <c r="D39" s="20" t="inlineStr">
        <is>
          <t>ALTO</t>
        </is>
      </c>
      <c r="E39" s="41" t="inlineStr">
        <is>
          <t>Comprar a peça mais pequena disponível. Cortar só o que sai.</t>
        </is>
      </c>
    </row>
    <row r="40">
      <c r="A40" s="40" t="inlineStr">
        <is>
          <t>Queijo fresco</t>
        </is>
      </c>
      <c r="B40" s="20" t="inlineStr">
        <is>
          <t>3.3 sem</t>
        </is>
      </c>
      <c r="C40" s="20" t="inlineStr">
        <is>
          <t>1.4 sem</t>
        </is>
      </c>
      <c r="D40" s="20" t="inlineStr">
        <is>
          <t>ALTO</t>
        </is>
      </c>
      <c r="E40" s="41" t="inlineStr">
        <is>
          <t>Comprar o formato mais pequeno que houver e rodar à chegada.</t>
        </is>
      </c>
    </row>
    <row r="41">
      <c r="A41" s="40" t="inlineStr">
        <is>
          <t>Requeijão / cream cheese</t>
        </is>
      </c>
      <c r="B41" s="20" t="inlineStr">
        <is>
          <t>10.0 sem</t>
        </is>
      </c>
      <c r="C41" s="20" t="inlineStr">
        <is>
          <t>4.3 sem</t>
        </is>
      </c>
      <c r="D41" s="20" t="inlineStr">
        <is>
          <t>ALTO</t>
        </is>
      </c>
      <c r="E41" s="41" t="inlineStr">
        <is>
          <t>Só necessário se produzires a coxinha em casa. Se compras congelada, sai da lista.</t>
        </is>
      </c>
    </row>
    <row r="42">
      <c r="A42" s="42" t="inlineStr">
        <is>
          <t>Alho fresco</t>
        </is>
      </c>
      <c r="B42" s="22" t="inlineStr">
        <is>
          <t>5.0 sem</t>
        </is>
      </c>
      <c r="C42" s="22" t="inlineStr">
        <is>
          <t>4.3 sem</t>
        </is>
      </c>
      <c r="D42" s="22" t="inlineStr">
        <is>
          <t>MÉDIO</t>
        </is>
      </c>
      <c r="E42" s="43" t="inlineStr">
        <is>
          <t>Comprar o formato mais pequeno que houver e rodar à chegada.</t>
        </is>
      </c>
    </row>
    <row r="43">
      <c r="A43" s="42" t="inlineStr">
        <is>
          <t>Bacon fatiado</t>
        </is>
      </c>
      <c r="B43" s="22" t="inlineStr">
        <is>
          <t>3.3 sem</t>
        </is>
      </c>
      <c r="C43" s="22" t="inlineStr">
        <is>
          <t>3.0 sem</t>
        </is>
      </c>
      <c r="D43" s="22" t="inlineStr">
        <is>
          <t>MÉDIO</t>
        </is>
      </c>
      <c r="E43" s="43" t="inlineStr">
        <is>
          <t>Comprar o formato mais pequeno que houver e rodar à chegada.</t>
        </is>
      </c>
    </row>
    <row r="44">
      <c r="A44" s="42" t="inlineStr">
        <is>
          <t>Bife de vaca (acém/vazia) p/ Bitoque e PF</t>
        </is>
      </c>
      <c r="B44" s="22" t="inlineStr">
        <is>
          <t>0.5 sem</t>
        </is>
      </c>
      <c r="C44" s="22" t="inlineStr">
        <is>
          <t>0.4 sem</t>
        </is>
      </c>
      <c r="D44" s="22" t="inlineStr">
        <is>
          <t>MÉDIO</t>
        </is>
      </c>
      <c r="E44" s="43" t="inlineStr">
        <is>
          <t>Comprar o formato mais pequeno que houver e rodar à chegada.</t>
        </is>
      </c>
    </row>
    <row r="45">
      <c r="A45" s="42" t="inlineStr">
        <is>
          <t>Cheddar em fatias</t>
        </is>
      </c>
      <c r="B45" s="22" t="inlineStr">
        <is>
          <t>4.0 sem</t>
        </is>
      </c>
      <c r="C45" s="22" t="inlineStr">
        <is>
          <t>3.0 sem</t>
        </is>
      </c>
      <c r="D45" s="22" t="inlineStr">
        <is>
          <t>MÉDIO</t>
        </is>
      </c>
      <c r="E45" s="43" t="inlineStr">
        <is>
          <t>Comprar o formato mais pequeno que houver e rodar à chegada.</t>
        </is>
      </c>
    </row>
    <row r="46">
      <c r="A46" s="42" t="inlineStr">
        <is>
          <t>Chouriço de carne</t>
        </is>
      </c>
      <c r="B46" s="22" t="inlineStr">
        <is>
          <t>12.5 sem</t>
        </is>
      </c>
      <c r="C46" s="22" t="inlineStr">
        <is>
          <t>8.6 sem</t>
        </is>
      </c>
      <c r="D46" s="22" t="inlineStr">
        <is>
          <t>MÉDIO</t>
        </is>
      </c>
      <c r="E46" s="43" t="inlineStr">
        <is>
          <t>Comprar o formato mais pequeno que houver e rodar à chegada.</t>
        </is>
      </c>
    </row>
    <row r="47">
      <c r="A47" s="42" t="inlineStr">
        <is>
          <t>Paio</t>
        </is>
      </c>
      <c r="B47" s="22" t="inlineStr">
        <is>
          <t>12.5 sem</t>
        </is>
      </c>
      <c r="C47" s="22" t="inlineStr">
        <is>
          <t>8.6 sem</t>
        </is>
      </c>
      <c r="D47" s="22" t="inlineStr">
        <is>
          <t>MÉDIO</t>
        </is>
      </c>
      <c r="E47" s="43" t="inlineStr">
        <is>
          <t>Comprar o formato mais pequeno que houver e rodar à chegada.</t>
        </is>
      </c>
    </row>
    <row r="48">
      <c r="A48" s="42" t="inlineStr">
        <is>
          <t>Queijo fatiado (flamengo)</t>
        </is>
      </c>
      <c r="B48" s="22" t="inlineStr">
        <is>
          <t>4.0 sem</t>
        </is>
      </c>
      <c r="C48" s="22" t="inlineStr">
        <is>
          <t>3.0 sem</t>
        </is>
      </c>
      <c r="D48" s="22" t="inlineStr">
        <is>
          <t>MÉDIO</t>
        </is>
      </c>
      <c r="E48" s="43" t="inlineStr">
        <is>
          <t>Comprar o formato mais pequeno que houver e rodar à chegada.</t>
        </is>
      </c>
    </row>
    <row r="49">
      <c r="A49" s="42" t="inlineStr">
        <is>
          <t>Tomate fresco</t>
        </is>
      </c>
      <c r="B49" s="22" t="inlineStr">
        <is>
          <t>1.0 sem</t>
        </is>
      </c>
      <c r="C49" s="22" t="inlineStr">
        <is>
          <t>0.7 sem</t>
        </is>
      </c>
      <c r="D49" s="22" t="inlineStr">
        <is>
          <t>MÉDIO</t>
        </is>
      </c>
      <c r="E49" s="43" t="inlineStr">
        <is>
          <t>Comprar o formato mais pequeno que houver e rodar à chegada.</t>
        </is>
      </c>
    </row>
    <row r="51">
      <c r="A51" s="3" t="inlineStr">
        <is>
          <t>A MINHA RECOMENDAÇÃO</t>
        </is>
      </c>
      <c r="B51" s="4" t="n"/>
      <c r="C51" s="4" t="n"/>
      <c r="D51" s="4" t="n"/>
      <c r="E51" s="4" t="n"/>
    </row>
    <row r="52" ht="28" customHeight="1">
      <c r="A52" s="10" t="inlineStr">
        <is>
          <t>Medida</t>
        </is>
      </c>
      <c r="B52" s="10" t="inlineStr">
        <is>
          <t>Poupança</t>
        </is>
      </c>
      <c r="C52" s="10" t="inlineStr">
        <is>
          <t>Esforço</t>
        </is>
      </c>
      <c r="D52" s="10" t="inlineStr">
        <is>
          <t>Prioridade</t>
        </is>
      </c>
      <c r="E52" s="10" t="inlineStr">
        <is>
          <t>Porquê</t>
        </is>
      </c>
    </row>
    <row r="53">
      <c r="A53" s="23" t="inlineStr">
        <is>
          <t>Tirar o Peixe do Dia da rotação</t>
        </is>
      </c>
      <c r="B53" s="21" t="inlineStr">
        <is>
          <t>—</t>
        </is>
      </c>
      <c r="C53" s="21" t="inlineStr">
        <is>
          <t>Nenhum</t>
        </is>
      </c>
      <c r="D53" s="21" t="inlineStr">
        <is>
          <t>1</t>
        </is>
      </c>
      <c r="E53" s="28" t="inlineStr">
        <is>
          <t>Uma dose por semana de peixe fresco não se gere. Passa a especial de sábado, comprado à peça na véspera, anunciado em ardósia. Mantém a promessa de frescura sem o desperdício.</t>
        </is>
      </c>
    </row>
    <row r="54">
      <c r="A54" s="23" t="inlineStr">
        <is>
          <t>Tábua da Casa só a partir de encomenda</t>
        </is>
      </c>
      <c r="B54" s="21" t="inlineStr">
        <is>
          <t>~30 €/mês</t>
        </is>
      </c>
      <c r="C54" s="21" t="inlineStr">
        <is>
          <t>Baixo</t>
        </is>
      </c>
      <c r="D54" s="21" t="inlineStr">
        <is>
          <t>2</t>
        </is>
      </c>
      <c r="E54" s="28" t="inlineStr">
        <is>
          <t>Ou reduzir a dois queijos em vez de quatro produtos, e comprar peças pequenas. A tábua como está exige uma rotação que 1,5 doses/semana não sustenta.</t>
        </is>
      </c>
    </row>
    <row r="55">
      <c r="A55" s="40" t="inlineStr">
        <is>
          <t>Rotação de PF: 2 pratos/dia em vez de 3</t>
        </is>
      </c>
      <c r="B55" s="20" t="inlineStr">
        <is>
          <t>~40 €/mês</t>
        </is>
      </c>
      <c r="C55" s="20" t="inlineStr">
        <is>
          <t>Nenhum</t>
        </is>
      </c>
      <c r="D55" s="20" t="inlineStr">
        <is>
          <t>3</t>
        </is>
      </c>
      <c r="E55" s="41" t="inlineStr">
        <is>
          <t>Já tinhas decidido manter o Bitoque a 13,50 €, o que faz o Bitoque absorver o almoço. Com 2 PF/dia cada prato vende ~1,8 doses/semana em vez de 1,1 — passa a ser gerível.</t>
        </is>
      </c>
    </row>
    <row r="56">
      <c r="A56" s="40" t="inlineStr">
        <is>
          <t>Porcionar e congelar toda a carne à chegada</t>
        </is>
      </c>
      <c r="B56" s="20" t="inlineStr">
        <is>
          <t>~50 €/mês</t>
        </is>
      </c>
      <c r="C56" s="20" t="inlineStr">
        <is>
          <t>Médio</t>
        </is>
      </c>
      <c r="D56" s="20" t="inlineStr">
        <is>
          <t>4</t>
        </is>
      </c>
      <c r="E56" s="41" t="inlineStr">
        <is>
          <t>Comprar 1 kg, dividir em doses, vácuo, congelar e etiquetar no próprio dia. É meia hora de trabalho por semana que evita quase toda a perda de carne.</t>
        </is>
      </c>
    </row>
    <row r="57">
      <c r="A57" s="38" t="inlineStr">
        <is>
          <t>Adiar as embalagens de delivery</t>
        </is>
      </c>
      <c r="B57" s="17" t="inlineStr">
        <is>
          <t>202 € agora</t>
        </is>
      </c>
      <c r="C57" s="17" t="inlineStr">
        <is>
          <t>Nenhum</t>
        </is>
      </c>
      <c r="D57" s="17" t="inlineStr">
        <is>
          <t>5</t>
        </is>
      </c>
      <c r="E57" s="39" t="inlineStr">
        <is>
          <t>Se o delivery não arranca na semana 1, este dinheiro fica no bolso. As caixas não caducam, mas também não rendem paradas.</t>
        </is>
      </c>
    </row>
    <row r="58">
      <c r="A58" s="38" t="inlineStr">
        <is>
          <t>Abrir com petiscos + bar + Bitoque</t>
        </is>
      </c>
      <c r="B58" s="17" t="inlineStr">
        <is>
          <t>~200 € de stock</t>
        </is>
      </c>
      <c r="C58" s="17" t="inlineStr">
        <is>
          <t>Nenhum</t>
        </is>
      </c>
      <c r="D58" s="17" t="inlineStr">
        <is>
          <t>6</t>
        </is>
      </c>
      <c r="E58" s="39" t="inlineStr">
        <is>
          <t>Adiar pequeno-almoço e PF para a semana 3-4 corta metade dos frescos da lista de arranque e dá rodagem à equipa. É a recomendação que já te tinha feito no parecer da ementa.</t>
        </is>
      </c>
    </row>
    <row r="60">
      <c r="A60" s="3" t="inlineStr">
        <is>
          <t>SE O VOLUME SUBIR</t>
        </is>
      </c>
      <c r="B60" s="4" t="n"/>
      <c r="C60" s="4" t="n"/>
      <c r="D60" s="4" t="n"/>
      <c r="E60" s="4" t="n"/>
    </row>
    <row r="61" ht="28" customHeight="1">
      <c r="A61" s="10" t="inlineStr">
        <is>
          <t>Cenário</t>
        </is>
      </c>
      <c r="B61" s="10" t="inlineStr">
        <is>
          <t>Clientes/semana</t>
        </is>
      </c>
      <c r="C61" s="10" t="inlineStr">
        <is>
          <t>Doses de petisco/sem</t>
        </is>
      </c>
      <c r="D61" s="10" t="inlineStr">
        <is>
          <t>Cada PF vende</t>
        </is>
      </c>
      <c r="E61" s="10" t="inlineStr">
        <is>
          <t>Leitura</t>
        </is>
      </c>
    </row>
    <row r="62">
      <c r="A62" s="23" t="inlineStr">
        <is>
          <t>10 clientes/dia (actual)</t>
        </is>
      </c>
      <c r="B62" s="21" t="n">
        <v>60</v>
      </c>
      <c r="C62" s="21" t="n">
        <v>19</v>
      </c>
      <c r="D62" s="21" t="inlineStr">
        <is>
          <t>1,1 doses/sem</t>
        </is>
      </c>
      <c r="E62" s="28" t="inlineStr">
        <is>
          <t>A carta não cabe. Metade dos frescos vai ao lixo.</t>
        </is>
      </c>
    </row>
    <row r="63">
      <c r="A63" s="40" t="inlineStr">
        <is>
          <t>25 clientes/dia</t>
        </is>
      </c>
      <c r="B63" s="20" t="n">
        <v>150</v>
      </c>
      <c r="C63" s="20" t="n">
        <v>48</v>
      </c>
      <c r="D63" s="20" t="inlineStr">
        <is>
          <t>2,8 doses/sem</t>
        </is>
      </c>
      <c r="E63" s="41" t="inlineStr">
        <is>
          <t>Começa a fazer sentido. Frescos ainda apertados na Tábua e no peixe.</t>
        </is>
      </c>
    </row>
    <row r="64">
      <c r="A64" s="38" t="inlineStr">
        <is>
          <t>40 clientes/dia</t>
        </is>
      </c>
      <c r="B64" s="17" t="n">
        <v>240</v>
      </c>
      <c r="C64" s="17" t="n">
        <v>77</v>
      </c>
      <c r="D64" s="17" t="inlineStr">
        <is>
          <t>4,5 doses/sem</t>
        </is>
      </c>
      <c r="E64" s="39" t="inlineStr">
        <is>
          <t>A carta integral passa a ser executável sem desperdício estrutural.</t>
        </is>
      </c>
    </row>
    <row r="65">
      <c r="A65" s="44" t="inlineStr">
        <is>
          <t>Ponto de equilíbrio da carta</t>
        </is>
      </c>
      <c r="B65" s="45" t="inlineStr">
        <is>
          <t>~240/sem</t>
        </is>
      </c>
      <c r="C65" s="45" t="inlineStr">
        <is>
          <t>~77</t>
        </is>
      </c>
      <c r="D65" s="45" t="inlineStr">
        <is>
          <t>~4,5</t>
        </is>
      </c>
      <c r="E65" s="46" t="inlineStr">
        <is>
          <t>Abaixo de 40 clientes/dia, esta carta obriga sempre a escolher entre desperdício e ruptura.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62" customWidth="1" min="4" max="4"/>
  </cols>
  <sheetData>
    <row r="1">
      <c r="A1" s="8" t="inlineStr">
        <is>
          <t>ROTINA DE COMPRAS — REGIME DE CRUZEIRO</t>
        </is>
      </c>
      <c r="B1" s="9" t="n"/>
      <c r="C1" s="9" t="n"/>
      <c r="D1" s="9" t="n"/>
    </row>
    <row r="2">
      <c r="A2" s="2" t="inlineStr">
        <is>
          <t>O que comprar, quando, e o que verificar. Depois do arranque, é isto que mantém a cozinha a funcionar sem desperdício.</t>
        </is>
      </c>
    </row>
    <row r="4">
      <c r="A4" s="3" t="inlineStr">
        <is>
          <t>CALENDÁRIO DE COMPRAS</t>
        </is>
      </c>
      <c r="B4" s="4" t="n"/>
      <c r="C4" s="4" t="n"/>
      <c r="D4" s="4" t="n"/>
    </row>
    <row r="5">
      <c r="A5" s="10" t="inlineStr">
        <is>
          <t>Quando</t>
        </is>
      </c>
      <c r="B5" s="10" t="inlineStr">
        <is>
          <t>O quê</t>
        </is>
      </c>
      <c r="C5" s="10" t="inlineStr">
        <is>
          <t>Fornecedor</t>
        </is>
      </c>
      <c r="D5" s="10" t="inlineStr">
        <is>
          <t>Notas</t>
        </is>
      </c>
    </row>
    <row r="6">
      <c r="A6" s="47" t="inlineStr">
        <is>
          <t>Segunda, manhã</t>
        </is>
      </c>
      <c r="B6" s="42" t="inlineStr">
        <is>
          <t>Carne fresca (bife para os bitoques da semana), hortícola, coentros, hortelã, salada, tomate</t>
        </is>
      </c>
      <c r="C6" s="22" t="inlineStr">
        <is>
          <t>Makro / mercado</t>
        </is>
      </c>
      <c r="D6" s="43" t="inlineStr">
        <is>
          <t>Porcionar e congelar o que não for para os 3 dias seguintes. Etiquetar tudo com a data.</t>
        </is>
      </c>
    </row>
    <row r="7">
      <c r="A7" s="47" t="inlineStr">
        <is>
          <t>Quinta, manhã</t>
        </is>
      </c>
      <c r="B7" s="42" t="inlineStr">
        <is>
          <t>Reforço de carne, hortícola e fruta para sexta e sábado</t>
        </is>
      </c>
      <c r="C7" s="22" t="inlineStr">
        <is>
          <t>Makro / mercado</t>
        </is>
      </c>
      <c r="D7" s="43" t="inlineStr">
        <is>
          <t>Sexta e sábado são os dias fortes — comprar em função da reserva, não do hábito.</t>
        </is>
      </c>
    </row>
    <row r="8">
      <c r="A8" s="48" t="inlineStr">
        <is>
          <t>Quinzenal</t>
        </is>
      </c>
      <c r="B8" s="38" t="inlineStr">
        <is>
          <t>Charcutaria, queijos, lacticínios, ovos, pão de forma</t>
        </is>
      </c>
      <c r="C8" s="17" t="inlineStr">
        <is>
          <t>Makro</t>
        </is>
      </c>
      <c r="D8" s="39" t="inlineStr">
        <is>
          <t>Verificar validade à chegada. Nada entra sem data de recepção registada.</t>
        </is>
      </c>
    </row>
    <row r="9">
      <c r="A9" s="48" t="inlineStr">
        <is>
          <t>Mensal</t>
        </is>
      </c>
      <c r="B9" s="38" t="inlineStr">
        <is>
          <t>Congelados (salgados), mercearia, secos, café</t>
        </is>
      </c>
      <c r="C9" s="17" t="inlineStr">
        <is>
          <t>Makro</t>
        </is>
      </c>
      <c r="D9" s="39" t="inlineStr">
        <is>
          <t>Os salgados congelados compram-se de dois em dois meses a este volume.</t>
        </is>
      </c>
    </row>
    <row r="10">
      <c r="A10" s="48" t="inlineStr">
        <is>
          <t>Mensal</t>
        </is>
      </c>
      <c r="B10" s="38" t="inlineStr">
        <is>
          <t>Bebidas, refrigerantes, águas</t>
        </is>
      </c>
      <c r="C10" s="17" t="inlineStr">
        <is>
          <t>Distribuidor</t>
        </is>
      </c>
      <c r="D10" s="39" t="inlineStr">
        <is>
          <t>O barril de Sagres escoa em ~4 semanas — encomendar antes de acabar, não depois.</t>
        </is>
      </c>
    </row>
    <row r="11">
      <c r="A11" s="48" t="inlineStr">
        <is>
          <t>Trimestral</t>
        </is>
      </c>
      <c r="B11" s="38" t="inlineStr">
        <is>
          <t>Espirituosas, digestivos, vinhos</t>
        </is>
      </c>
      <c r="C11" s="17" t="inlineStr">
        <is>
          <t>Distribuidor</t>
        </is>
      </c>
      <c r="D11" s="39" t="inlineStr">
        <is>
          <t>Rotação lenta, validade longa. Repor por garrafa, não por caixa.</t>
        </is>
      </c>
    </row>
    <row r="12">
      <c r="A12" s="48" t="inlineStr">
        <is>
          <t>Trimestral</t>
        </is>
      </c>
      <c r="B12" s="38" t="inlineStr">
        <is>
          <t>Consumíveis, luvas, limpeza, etiquetas</t>
        </is>
      </c>
      <c r="C12" s="17" t="inlineStr">
        <is>
          <t>Makro</t>
        </is>
      </c>
      <c r="D12" s="39" t="inlineStr">
        <is>
          <t>Verificar stock de etiquetas de rastreabilidade — é o consumível que falha primeiro e é o que a ASAE pede.</t>
        </is>
      </c>
    </row>
    <row r="14">
      <c r="A14" s="3" t="inlineStr">
        <is>
          <t>VERIFICAÇÕES OBRIGATÓRIAS (HACCP)</t>
        </is>
      </c>
      <c r="B14" s="4" t="n"/>
      <c r="C14" s="4" t="n"/>
      <c r="D14" s="4" t="n"/>
    </row>
    <row r="15">
      <c r="A15" s="10" t="inlineStr">
        <is>
          <t>Frequência</t>
        </is>
      </c>
      <c r="B15" s="10" t="inlineStr">
        <is>
          <t>Verificação</t>
        </is>
      </c>
      <c r="C15" s="10" t="inlineStr">
        <is>
          <t>Registo</t>
        </is>
      </c>
      <c r="D15" s="10" t="inlineStr">
        <is>
          <t>Notas</t>
        </is>
      </c>
    </row>
    <row r="16">
      <c r="A16" s="49" t="inlineStr">
        <is>
          <t>Diária</t>
        </is>
      </c>
      <c r="B16" s="40" t="inlineStr">
        <is>
          <t>Temperatura das câmaras de frio e congelação</t>
        </is>
      </c>
      <c r="C16" s="20" t="inlineStr">
        <is>
          <t>Folha de registo</t>
        </is>
      </c>
      <c r="D16" s="41" t="inlineStr">
        <is>
          <t>Manhã e fim de serviço. Frio positivo ≤ 5 °C, negativo ≤ −18 °C.</t>
        </is>
      </c>
    </row>
    <row r="17">
      <c r="A17" s="49" t="inlineStr">
        <is>
          <t>Diária</t>
        </is>
      </c>
      <c r="B17" s="40" t="inlineStr">
        <is>
          <t>Estado do óleo de fritura</t>
        </is>
      </c>
      <c r="C17" s="20" t="inlineStr">
        <is>
          <t>Folha de registo</t>
        </is>
      </c>
      <c r="D17" s="41" t="inlineStr">
        <is>
          <t>Com tiras de teste. Sete dos onze petiscos são fritos — o óleo é o ponto crítico desta cozinha.</t>
        </is>
      </c>
    </row>
    <row r="18">
      <c r="A18" s="50" t="inlineStr">
        <is>
          <t>Diária</t>
        </is>
      </c>
      <c r="B18" s="23" t="inlineStr">
        <is>
          <t>Alergénios do Peixe do Dia em ardósia</t>
        </is>
      </c>
      <c r="C18" s="21" t="inlineStr">
        <is>
          <t>Ardósia + folha</t>
        </is>
      </c>
      <c r="D18" s="28" t="inlineStr">
        <is>
          <t>Se o peixe do dia se mantiver na carta, isto é obrigação legal diária, não opcional.</t>
        </is>
      </c>
    </row>
    <row r="19">
      <c r="A19" s="49" t="inlineStr">
        <is>
          <t>A cada recepção</t>
        </is>
      </c>
      <c r="B19" s="40" t="inlineStr">
        <is>
          <t>Temperatura e validade da mercadoria</t>
        </is>
      </c>
      <c r="C19" s="20" t="inlineStr">
        <is>
          <t>Folha de recepção</t>
        </is>
      </c>
      <c r="D19" s="41" t="inlineStr">
        <is>
          <t>Recusar o que chegar fora de temperatura. Registar sempre, mesmo quando está bem.</t>
        </is>
      </c>
    </row>
    <row r="20">
      <c r="A20" s="49" t="inlineStr">
        <is>
          <t>A cada abertura</t>
        </is>
      </c>
      <c r="B20" s="40" t="inlineStr">
        <is>
          <t>Etiquetar produto aberto ou descongelado</t>
        </is>
      </c>
      <c r="C20" s="20" t="inlineStr">
        <is>
          <t>Etiqueta na embalagem</t>
        </is>
      </c>
      <c r="D20" s="41" t="inlineStr">
        <is>
          <t>Data de abertura e prazo de consumo. É o que mais falha em cozinhas pequenas.</t>
        </is>
      </c>
    </row>
    <row r="21">
      <c r="A21" s="49" t="inlineStr">
        <is>
          <t>Semanal</t>
        </is>
      </c>
      <c r="B21" s="40" t="inlineStr">
        <is>
          <t>Mudança do óleo de fritura</t>
        </is>
      </c>
      <c r="C21" s="20" t="inlineStr">
        <is>
          <t>Folha de registo</t>
        </is>
      </c>
      <c r="D21" s="41" t="inlineStr">
        <is>
          <t>Mesmo a baixo volume. O óleo degrada-se por tempo, não só por uso.</t>
        </is>
      </c>
    </row>
    <row r="22">
      <c r="A22" s="49" t="inlineStr">
        <is>
          <t>Semanal</t>
        </is>
      </c>
      <c r="B22" s="40" t="inlineStr">
        <is>
          <t>Contagem de stock e conferência de validades</t>
        </is>
      </c>
      <c r="C22" s="20" t="inlineStr">
        <is>
          <t>Inventário</t>
        </is>
      </c>
      <c r="D22" s="41" t="inlineStr">
        <is>
          <t>Retirar o que estiver a 3 dias do fim e decidir: usar em especial do dia ou abater.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2026-08-16T10:10:24Z</dcterms:created>
  <dcterms:modified xmlns:dcterms="http://purl.org/dc/terms/" xmlns:xsi="http://www.w3.org/2001/XMLSchema-instance" xsi:type="dcterms:W3CDTF">2026-08-16T10:10:24Z</dcterms:modified>
</cp:coreProperties>
</file>